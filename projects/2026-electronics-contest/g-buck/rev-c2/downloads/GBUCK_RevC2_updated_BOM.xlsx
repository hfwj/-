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'使用说明'!$A$1:$B$20</definedName>
    <definedName name="_xlnm.Print_Titles" localSheetId="0">'使用说明'!$1:$1</definedName>
    <definedName name="_xlnm._FilterDatabase" localSheetId="1" hidden="1">'采购汇总'!$A$1:$J$46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本次比较1404d80；用户确认另外买了100nF、0805，更新已购状态；实际数量/耐压/介质待核。4.7nF为独立批次，设计电容值/数量及PCB保持。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U1型号家族/直插类别已确认；保留IR2184PbF设计标注，不再列为型号封装待确认或默认补购；库存数量另填，IR2104不可代装。RS_L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472批次已确认4.7nF；随后用户确认另外买了100nF/0805，两批分开记录。100nF/0805不再列未购，但实际数量/耐压/介质待核，不自动填16只库存或缺16只；4.7nF数量/额定也另核。</t>
        </is>
      </c>
    </row>
    <row r="12" ht="46" customHeight="1">
      <c r="A12" s="2" t="inlineStr">
        <is>
          <t>分流器新证据</t>
        </is>
      </c>
      <c r="B12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3" ht="46" customHeight="1">
      <c r="A13" s="2" t="inlineStr">
        <is>
          <t>保险夹确认</t>
        </is>
      </c>
      <c r="B13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4" ht="46" customHeight="1">
      <c r="A14" s="2" t="inlineStr">
        <is>
          <t>二极管确认</t>
        </is>
      </c>
      <c r="B14" s="2" t="inlineStr">
        <is>
          <t>两只SR560/SMB已由用户明确；沿用现有SMB标准几何，1=K/2=A。DO-201AD图不用于贴片建库，厂家完整电气手册/推荐焊盘最终复核仍需归档。</t>
        </is>
      </c>
    </row>
    <row r="15" ht="46" customHeight="1">
      <c r="A15" s="2" t="inlineStr">
        <is>
          <t>未确认封装</t>
        </is>
      </c>
      <c r="B15" s="2" t="inlineStr">
        <is>
          <t>C_A3的0805类别已确认；F1组合试装、分流器完整包络及外壳固定仍待核。C_A3完整料号/介质/偏压有效容量、二极管厂家数据待最终复核。</t>
        </is>
      </c>
    </row>
    <row r="16" ht="46" customHeight="1">
      <c r="A16" s="2" t="inlineStr">
        <is>
          <t>电感</t>
        </is>
      </c>
      <c r="B16" s="2" t="inlineStr">
        <is>
          <t>65125图示6A Max不是饱和电流保证；源设计仍要求Isat≥3A、Irms≥1.5A、DCR≤0.15Ω。</t>
        </is>
      </c>
    </row>
    <row r="17" ht="46" customHeight="1">
      <c r="A17" s="2" t="inlineStr">
        <is>
          <t>当前制造状态</t>
        </is>
      </c>
      <c r="B17" s="2" t="inlineStr">
        <is>
          <t>PCB仍有未布连接，客户端打开、原生ERC/DRC未完成；清单提供采购核对依据，不是制板放行。</t>
        </is>
      </c>
    </row>
    <row r="18" ht="46" customHeight="1">
      <c r="A18" s="2" t="inlineStr">
        <is>
          <t>本次原理图影响</t>
        </is>
      </c>
      <c r="B18" s="2" t="inlineStr">
        <is>
          <t>相对1404d80，仅记录另购100nF/0805已获用户确认；原理图和PCB原生文件未改，网络/脚号/参数保持，100nF设计仍16只、4.7nF仍5只。</t>
        </is>
      </c>
    </row>
    <row r="19" ht="46" customHeight="1">
      <c r="A19" s="2" t="inlineStr">
        <is>
          <t>本次器件/PCB影响</t>
        </is>
      </c>
      <c r="B19" s="2" t="inlineStr">
        <is>
          <t>100nF/0805改为已购；数量/耐压/介质待核，库存数量与补购数量保持未填，不认定已经足量。设计需求、45行采购记录/120位号和全部PCB几何保持，无本轮新增器件或封装变更。</t>
        </is>
      </c>
    </row>
    <row r="20" ht="46" customHeight="1">
      <c r="A20" s="2" t="inlineStr">
        <is>
          <t>本次仿真/固件影响</t>
        </is>
      </c>
      <c r="B20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0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6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用户已确认IR2184直插</t>
        </is>
      </c>
      <c r="J2" s="2" t="inlineStr">
        <is>
          <t>与既有DIP8_300一致；保留设计PbF标注，不把家族确认当成完整订货号/厂家确认；库存数量另填；IR2104不可代装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C6、C_A3</t>
        </is>
      </c>
      <c r="E19" s="2" t="n">
        <v>2</v>
      </c>
      <c r="F19" s="2" t="n">
        <v>2</v>
      </c>
      <c r="G19" s="3" t="n"/>
      <c r="H19" s="2">
        <f>IF(G19="","",MAX(F19-G19,0))</f>
        <v/>
      </c>
      <c r="I19" s="2" t="inlineStr">
        <is>
          <t>两只0805已确认；完整料号/介质待核</t>
        </is>
      </c>
      <c r="J19" s="2" t="inlineStr">
        <is>
          <t>共2只；C6来自原参数表，C_A3本轮由用户明确0805并替换原1206占位；实际介质与偏压后容量待核，库存另填</t>
        </is>
      </c>
    </row>
    <row r="20" ht="58" customHeight="1">
      <c r="A20" s="2" t="inlineStr">
        <is>
          <t>贴片电容</t>
        </is>
      </c>
      <c r="B20" s="2" t="inlineStr">
        <is>
          <t>100nF/50V，X7R（统一采购建议）</t>
        </is>
      </c>
      <c r="C20" s="2" t="inlineStr">
        <is>
          <t>0805</t>
        </is>
      </c>
      <c r="D20" s="2" t="inlineStr">
        <is>
          <t>C5、C_U2、C_U3、C_U4、C_A2、C_REF_POS、C_REF_NEG、C_REF_OV、C_U5、C_U9、C11、C_U6、C_U7、C_U8、C_REF_IOUT、C_IOUT_PROT</t>
        </is>
      </c>
      <c r="E20" s="2" t="n">
        <v>16</v>
      </c>
      <c r="F20" s="2" t="n">
        <v>16</v>
      </c>
      <c r="G20" s="3" t="n"/>
      <c r="H20" s="2">
        <f>IF(G20="","",MAX(F20-G20,0))</f>
        <v/>
      </c>
      <c r="I20" s="2" t="inlineStr">
        <is>
          <t>用户已确认另购100nF/0805；数量/耐压/介质待核</t>
        </is>
      </c>
      <c r="J20" s="2" t="inlineStr">
        <is>
          <t>每板设计16只，用户回复买了0805，确认另有100nF备料；不将16只需求填作库存。50V/X7R仍为统一采购建议，实际料号/耐压/介质待核；472批次独立记4.7nF</t>
        </is>
      </c>
    </row>
    <row r="21" ht="58" customHeight="1">
      <c r="A21" s="2" t="inlineStr">
        <is>
          <t>贴片电容</t>
        </is>
      </c>
      <c r="B21" s="2" t="inlineStr">
        <is>
          <t>4.7nF/50V，建议统一C0G/NP0</t>
        </is>
      </c>
      <c r="C21" s="2" t="inlineStr">
        <is>
          <t>0805</t>
        </is>
      </c>
      <c r="D21" s="2" t="inlineStr">
        <is>
          <t>C7、C8、C9、C10、C_VINP_ADC</t>
        </is>
      </c>
      <c r="E21" s="2" t="n">
        <v>5</v>
      </c>
      <c r="F21" s="2" t="n">
        <v>5</v>
      </c>
      <c r="G21" s="3" t="n"/>
      <c r="H21" s="2">
        <f>IF(G21="","",MAX(F21-G21,0))</f>
        <v/>
      </c>
      <c r="I21" s="2" t="inlineStr">
        <is>
          <t>用户已确认该批容量4.7nF；数量/介质另核</t>
        </is>
      </c>
      <c r="J21" s="2" t="inlineStr">
        <is>
          <t>设计共5只；参数表CL21B472JBANNNC与本轮确认容量一致，不计入100nF。容量确认不证明耐压/介质相容；C_VINP_ADC明确C0G，不能凭容量直接抵扣可用库存</t>
        </is>
      </c>
    </row>
    <row r="22" ht="58" customHeight="1">
      <c r="A22" s="2" t="inlineStr">
        <is>
          <t>贴片电容</t>
        </is>
      </c>
      <c r="B22" s="2" t="inlineStr">
        <is>
          <t>1nF/50V，建议C0G/NP0</t>
        </is>
      </c>
      <c r="C22" s="2" t="inlineStr">
        <is>
          <t>0805</t>
        </is>
      </c>
      <c r="D22" s="2" t="inlineStr">
        <is>
          <t>C_IL_ADC、C_IL_PROT</t>
        </is>
      </c>
      <c r="E22" s="2" t="n">
        <v>2</v>
      </c>
      <c r="F22" s="2" t="n">
        <v>2</v>
      </c>
      <c r="G22" s="3" t="n"/>
      <c r="H22" s="2">
        <f>IF(G22="","",MAX(F22-G22,0))</f>
        <v/>
      </c>
      <c r="I22" s="2" t="inlineStr">
        <is>
          <t>核对已购物料</t>
        </is>
      </c>
      <c r="J22" s="2" t="inlineStr">
        <is>
          <t>正常装配2只；C_IL_PROT明确C0G</t>
        </is>
      </c>
    </row>
    <row r="23" ht="58" customHeight="1">
      <c r="A23" s="2" t="inlineStr">
        <is>
          <t>贴片电容</t>
        </is>
      </c>
      <c r="B23" s="2" t="inlineStr">
        <is>
          <t>1nF/100V，C0G/NP0，DNP</t>
        </is>
      </c>
      <c r="C23" s="2" t="inlineStr">
        <is>
          <t>0805</t>
        </is>
      </c>
      <c r="D23" s="2" t="inlineStr">
        <is>
          <t>C_SN</t>
        </is>
      </c>
      <c r="E23" s="2" t="n">
        <v>1</v>
      </c>
      <c r="F23" s="2" t="n">
        <v>0</v>
      </c>
      <c r="G23" s="3" t="n"/>
      <c r="H23" s="2">
        <f>IF(G23="","",MAX(F23-G23,0))</f>
        <v/>
      </c>
      <c r="I23" s="2" t="inlineStr">
        <is>
          <t>DNP，默认不装</t>
        </is>
      </c>
      <c r="J23" s="2" t="inlineStr">
        <is>
          <t>吸收电路预留，实测振铃后决定是否装配及调值</t>
        </is>
      </c>
    </row>
    <row r="24" ht="58" customHeight="1">
      <c r="A24" s="2" t="inlineStr">
        <is>
          <t>普通电阻</t>
        </is>
      </c>
      <c r="B24" s="2" t="inlineStr">
        <is>
          <t>4.7Ω，建议1%、≥0.125W</t>
        </is>
      </c>
      <c r="C24" s="2" t="inlineStr">
        <is>
          <t>0805</t>
        </is>
      </c>
      <c r="D24" s="2" t="inlineStr">
        <is>
          <t>RG_H、RG_L</t>
        </is>
      </c>
      <c r="E24" s="2" t="n">
        <v>2</v>
      </c>
      <c r="F24" s="2" t="n">
        <v>2</v>
      </c>
      <c r="G24" s="3" t="n"/>
      <c r="H24" s="2">
        <f>IF(G24="","",MAX(F24-G24,0))</f>
        <v/>
      </c>
      <c r="I24" s="2" t="inlineStr">
        <is>
          <t>核对已购物料</t>
        </is>
      </c>
      <c r="J24" s="2" t="inlineStr">
        <is>
          <t>不要沿用Rev B中的旧栅极电阻值</t>
        </is>
      </c>
    </row>
    <row r="25" ht="58" customHeight="1">
      <c r="A25" s="2" t="inlineStr">
        <is>
          <t>普通电阻</t>
        </is>
      </c>
      <c r="B25" s="2" t="inlineStr">
        <is>
          <t>1Ω，建议1%、≥0.125W</t>
        </is>
      </c>
      <c r="C25" s="2" t="inlineStr">
        <is>
          <t>0805</t>
        </is>
      </c>
      <c r="D25" s="2" t="inlineStr">
        <is>
          <t>R_VDDA</t>
        </is>
      </c>
      <c r="E25" s="2" t="n">
        <v>1</v>
      </c>
      <c r="F25" s="2" t="n">
        <v>1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模拟电源串联电阻，不能错装成0Ω</t>
        </is>
      </c>
    </row>
    <row r="26" ht="58" customHeight="1">
      <c r="A26" s="2" t="inlineStr">
        <is>
          <t>普通电阻</t>
        </is>
      </c>
      <c r="B26" s="2" t="inlineStr">
        <is>
          <t>100Ω，建议1%、≥0.125W</t>
        </is>
      </c>
      <c r="C26" s="2" t="inlineStr">
        <is>
          <t>0805</t>
        </is>
      </c>
      <c r="D26" s="2" t="inlineStr">
        <is>
          <t>R_PWM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与100Ω/0.1%精密电阻分开采购</t>
        </is>
      </c>
    </row>
    <row r="27" ht="58" customHeight="1">
      <c r="A27" s="2" t="inlineStr">
        <is>
          <t>普通电阻</t>
        </is>
      </c>
      <c r="B27" s="2" t="inlineStr">
        <is>
          <t>1kΩ，1%、≥0.125W（统一采购建议）</t>
        </is>
      </c>
      <c r="C27" s="2" t="inlineStr">
        <is>
          <t>0805</t>
        </is>
      </c>
      <c r="D27" s="2" t="inlineStr">
        <is>
          <t>R3、R6、R7、R8、R_IL_ADC、R_VINP_ADC、R_IL_PROT、R_IOUT_PROT</t>
        </is>
      </c>
      <c r="E27" s="2" t="n">
        <v>8</v>
      </c>
      <c r="F27" s="2" t="n">
        <v>8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共8只；两项保护电阻明确要求1%；原图其余未明确精度，建议统一1%</t>
        </is>
      </c>
    </row>
    <row r="28" ht="58" customHeight="1">
      <c r="A28" s="2" t="inlineStr">
        <is>
          <t>普通电阻</t>
        </is>
      </c>
      <c r="B28" s="2" t="inlineStr">
        <is>
          <t>10kΩ，建议1%、≥0.125W</t>
        </is>
      </c>
      <c r="C28" s="2" t="inlineStr">
        <is>
          <t>0805</t>
        </is>
      </c>
      <c r="D28" s="2" t="inlineStr">
        <is>
          <t>R_GSH、R_GSL、R_IN_PD、R_SD_PD、R12、R13、R14、R_EN_PD、R_ARM_PD、R_IOUT_PU</t>
        </is>
      </c>
      <c r="E28" s="2" t="n">
        <v>10</v>
      </c>
      <c r="F28" s="2" t="n">
        <v>10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普通10kΩ共10只；不替代0.1%分压/参考电阻</t>
        </is>
      </c>
    </row>
    <row r="29" ht="58" customHeight="1">
      <c r="A29" s="2" t="inlineStr">
        <is>
          <t>普通电阻</t>
        </is>
      </c>
      <c r="B29" s="2" t="inlineStr">
        <is>
          <t>23kΩ，建议1%、≥0.125W</t>
        </is>
      </c>
      <c r="C29" s="2" t="inlineStr">
        <is>
          <t>0805</t>
        </is>
      </c>
      <c r="D29" s="2" t="inlineStr">
        <is>
          <t>R11</t>
        </is>
      </c>
      <c r="E29" s="2" t="n">
        <v>1</v>
      </c>
      <c r="F29" s="2" t="n">
        <v>1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按23kΩ采购；不直接换成22kΩ</t>
        </is>
      </c>
    </row>
    <row r="30" ht="58" customHeight="1">
      <c r="A30" s="2" t="inlineStr">
        <is>
          <t>精密电阻</t>
        </is>
      </c>
      <c r="B30" s="2" t="inlineStr">
        <is>
          <t>100kΩ，0.1%，≥0.125W</t>
        </is>
      </c>
      <c r="C30" s="2" t="inlineStr">
        <is>
          <t>0805</t>
        </is>
      </c>
      <c r="D30" s="2" t="inlineStr">
        <is>
          <t>R1、R_VINP_TOP</t>
        </is>
      </c>
      <c r="E30" s="2" t="n">
        <v>2</v>
      </c>
      <c r="F30" s="2" t="n">
        <v>2</v>
      </c>
      <c r="G30" s="3" t="n"/>
      <c r="H30" s="2">
        <f>IF(G30="","",MAX(F30-G30,0))</f>
        <v/>
      </c>
      <c r="I30" s="2" t="inlineStr">
        <is>
          <t>精度/料号待核</t>
        </is>
      </c>
      <c r="J30" s="2" t="inlineStr">
        <is>
          <t>温漂未在源图固定；按实购物料记录，不虚构已确认参数</t>
        </is>
      </c>
    </row>
    <row r="31" ht="58" customHeight="1">
      <c r="A31" s="2" t="inlineStr">
        <is>
          <t>精密电阻</t>
        </is>
      </c>
      <c r="B31" s="2" t="inlineStr">
        <is>
          <t>10kΩ，0.1%，≥0.125W</t>
        </is>
      </c>
      <c r="C31" s="2" t="inlineStr">
        <is>
          <t>0805</t>
        </is>
      </c>
      <c r="D31" s="2" t="inlineStr">
        <is>
          <t>R2、R4、R9、R16、R_IOUT_BOT、R_VINP_BOT</t>
        </is>
      </c>
      <c r="E31" s="2" t="n">
        <v>6</v>
      </c>
      <c r="F31" s="2" t="n">
        <v>6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共6只，与普通10kΩ区分</t>
        </is>
      </c>
    </row>
    <row r="32" ht="58" customHeight="1">
      <c r="A32" s="2" t="inlineStr">
        <is>
          <t>精密电阻</t>
        </is>
      </c>
      <c r="B32" s="2" t="inlineStr">
        <is>
          <t>1kΩ，0.1%，≥0.125W</t>
        </is>
      </c>
      <c r="C32" s="2" t="inlineStr">
        <is>
          <t>0805</t>
        </is>
      </c>
      <c r="D32" s="2" t="inlineStr">
        <is>
          <t>R5</t>
        </is>
      </c>
      <c r="E32" s="2" t="n">
        <v>1</v>
      </c>
      <c r="F32" s="2" t="n">
        <v>1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与普通1kΩ区分</t>
        </is>
      </c>
    </row>
    <row r="33" ht="58" customHeight="1">
      <c r="A33" s="2" t="inlineStr">
        <is>
          <t>精密电阻</t>
        </is>
      </c>
      <c r="B33" s="2" t="inlineStr">
        <is>
          <t>49.9kΩ，0.1%，≥0.125W</t>
        </is>
      </c>
      <c r="C33" s="2" t="inlineStr">
        <is>
          <t>0805</t>
        </is>
      </c>
      <c r="D33" s="2" t="inlineStr">
        <is>
          <t>R10A、R15A</t>
        </is>
      </c>
      <c r="E33" s="2" t="n">
        <v>2</v>
      </c>
      <c r="F33" s="2" t="n">
        <v>2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保留49.9kΩ，不用近似值替代</t>
        </is>
      </c>
    </row>
    <row r="34" ht="58" customHeight="1">
      <c r="A34" s="2" t="inlineStr">
        <is>
          <t>精密电阻</t>
        </is>
      </c>
      <c r="B34" s="2" t="inlineStr">
        <is>
          <t>100Ω，0.1%，≥0.125W</t>
        </is>
      </c>
      <c r="C34" s="2" t="inlineStr">
        <is>
          <t>0805</t>
        </is>
      </c>
      <c r="D34" s="2" t="inlineStr">
        <is>
          <t>R10B、R15B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共2只，与R_PWM分开</t>
        </is>
      </c>
    </row>
    <row r="35" ht="58" customHeight="1">
      <c r="A35" s="2" t="inlineStr">
        <is>
          <t>精密电阻</t>
        </is>
      </c>
      <c r="B35" s="2" t="inlineStr">
        <is>
          <t>20kΩ，0.1%，≥0.125W</t>
        </is>
      </c>
      <c r="C35" s="2" t="inlineStr">
        <is>
          <t>0805</t>
        </is>
      </c>
      <c r="D35" s="2" t="inlineStr">
        <is>
          <t>R_IOUT_TOP</t>
        </is>
      </c>
      <c r="E35" s="2" t="n">
        <v>1</v>
      </c>
      <c r="F35" s="2" t="n">
        <v>1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输出告警参考上臂</t>
        </is>
      </c>
    </row>
    <row r="36" ht="58" customHeight="1">
      <c r="A36" s="2" t="inlineStr">
        <is>
          <t>功率电阻</t>
        </is>
      </c>
      <c r="B36" s="2" t="inlineStr">
        <is>
          <t>2.2kΩ，≥0.25W</t>
        </is>
      </c>
      <c r="C36" s="2" t="inlineStr">
        <is>
          <t>1206</t>
        </is>
      </c>
      <c r="D36" s="2" t="inlineStr">
        <is>
          <t>R_BL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功率/料号待核</t>
        </is>
      </c>
      <c r="J36" s="2" t="inlineStr">
        <is>
          <t>确认实物额定功率，不能买成普通0805</t>
        </is>
      </c>
    </row>
    <row r="37" ht="58" customHeight="1">
      <c r="A37" s="2" t="inlineStr">
        <is>
          <t>功率电阻</t>
        </is>
      </c>
      <c r="B37" s="2" t="inlineStr">
        <is>
          <t>10Ω，≥0.25W，DNP</t>
        </is>
      </c>
      <c r="C37" s="2" t="inlineStr">
        <is>
          <t>1206</t>
        </is>
      </c>
      <c r="D37" s="2" t="inlineStr">
        <is>
          <t>R_SN</t>
        </is>
      </c>
      <c r="E37" s="2" t="n">
        <v>1</v>
      </c>
      <c r="F37" s="2" t="n">
        <v>0</v>
      </c>
      <c r="G37" s="3" t="n"/>
      <c r="H37" s="2">
        <f>IF(G37="","",MAX(F37-G37,0))</f>
        <v/>
      </c>
      <c r="I37" s="2" t="inlineStr">
        <is>
          <t>DNP，默认不装</t>
        </is>
      </c>
      <c r="J37" s="2" t="inlineStr">
        <is>
          <t>与C_SN配套；由旧0805占位改1206</t>
        </is>
      </c>
    </row>
    <row r="38" ht="58" customHeight="1">
      <c r="A38" s="2" t="inlineStr">
        <is>
          <t>二极管</t>
        </is>
      </c>
      <c r="B38" s="2" t="inlineStr">
        <is>
          <t>SR560，目标60V/5A（用户选型）</t>
        </is>
      </c>
      <c r="C38" s="2" t="inlineStr">
        <is>
          <t>SMB / DO-214AA，贴片</t>
        </is>
      </c>
      <c r="D38" s="2" t="inlineStr">
        <is>
          <t>D1、D_FREE</t>
        </is>
      </c>
      <c r="E38" s="2" t="n">
        <v>2</v>
      </c>
      <c r="F38" s="2" t="n">
        <v>2</v>
      </c>
      <c r="G38" s="3" t="n"/>
      <c r="H38" s="2">
        <f>IF(G38="","",MAX(F38-G38,0))</f>
        <v/>
      </c>
      <c r="I38" s="2" t="inlineStr">
        <is>
          <t>用户已确认SMB；厂家资料待最终复核</t>
        </is>
      </c>
      <c r="J38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39" ht="58" customHeight="1">
      <c r="A39" s="2" t="inlineStr">
        <is>
          <t>二极管</t>
        </is>
      </c>
      <c r="B39" s="2" t="inlineStr">
        <is>
          <t>UF4007，快恢复</t>
        </is>
      </c>
      <c r="C39" s="2" t="inlineStr">
        <is>
          <t>DO-41，成型P10.16待核</t>
        </is>
      </c>
      <c r="D39" s="2" t="inlineStr">
        <is>
          <t>D_BOOT</t>
        </is>
      </c>
      <c r="E39" s="2" t="n">
        <v>1</v>
      </c>
      <c r="F39" s="2" t="n">
        <v>1</v>
      </c>
      <c r="G39" s="3" t="n"/>
      <c r="H39" s="2">
        <f>IF(G39="","",MAX(F39-G39,0))</f>
        <v/>
      </c>
      <c r="I39" s="2" t="inlineStr">
        <is>
          <t>成型脚距待核</t>
        </is>
      </c>
      <c r="J39" s="2" t="inlineStr">
        <is>
          <t>工程定义1=A、2=K；不是普通1N4007</t>
        </is>
      </c>
    </row>
    <row r="40" ht="58" customHeight="1">
      <c r="A40" s="2" t="inlineStr">
        <is>
          <t>二极管</t>
        </is>
      </c>
      <c r="B40" s="2" t="inlineStr">
        <is>
          <t>BAT54S，串联双肖特基</t>
        </is>
      </c>
      <c r="C40" s="2" t="inlineStr">
        <is>
          <t>SOT-23</t>
        </is>
      </c>
      <c r="D40" s="2" t="inlineStr">
        <is>
          <t>D_ADC1、D_ADC2、D_ADC3、D_ADC4、D_ADC5、D_ADC6</t>
        </is>
      </c>
      <c r="E40" s="2" t="n">
        <v>6</v>
      </c>
      <c r="F40" s="2" t="n">
        <v>6</v>
      </c>
      <c r="G40" s="3" t="n"/>
      <c r="H40" s="2">
        <f>IF(G40="","",MAX(F40-G40,0))</f>
        <v/>
      </c>
      <c r="I40" s="2" t="inlineStr">
        <is>
          <t>核对已购物料</t>
        </is>
      </c>
      <c r="J40" s="2" t="inlineStr">
        <is>
          <t>共6只；1=A1、2=K2、3=K1/A2；不能装BAT54/BAT54C</t>
        </is>
      </c>
    </row>
    <row r="41" ht="58" customHeight="1">
      <c r="A41" s="2" t="inlineStr">
        <is>
          <t>二极管</t>
        </is>
      </c>
      <c r="B41" s="2" t="inlineStr">
        <is>
          <t>BAT54，单肖特基</t>
        </is>
      </c>
      <c r="C41" s="2" t="inlineStr">
        <is>
          <t>SOT-23</t>
        </is>
      </c>
      <c r="D41" s="2" t="inlineStr">
        <is>
          <t>D_POR</t>
        </is>
      </c>
      <c r="E41" s="2" t="n">
        <v>1</v>
      </c>
      <c r="F41" s="2" t="n">
        <v>1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1=A、3=K、2=NC；不能与BAT54S混装</t>
        </is>
      </c>
    </row>
    <row r="42" ht="58" customHeight="1">
      <c r="A42" s="2" t="inlineStr">
        <is>
          <t>保险</t>
        </is>
      </c>
      <c r="B42" s="2" t="inlineStr">
        <is>
          <t>2A快断保险管，5×20mm，商品标250V</t>
        </is>
      </c>
      <c r="C42" s="2" t="inlineStr">
        <is>
          <t>配5×20mm管夹</t>
        </is>
      </c>
      <c r="D42" s="2" t="inlineStr">
        <is>
          <t>F1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尺寸/快断已给资料；实际电气性能待核</t>
        </is>
      </c>
      <c r="J42" s="2" t="inlineStr">
        <is>
          <t>商品BXG16519；250V未注明AC/DC分断条件，启动不误熔断与故障分断待验证；管夹另列2只</t>
        </is>
      </c>
    </row>
    <row r="43" ht="58" customHeight="1">
      <c r="A43" s="2" t="inlineStr">
        <is>
          <t>连接器</t>
        </is>
      </c>
      <c r="B43" s="2" t="inlineStr">
        <is>
          <t>2P接线端子，P2.54，≥3A</t>
        </is>
      </c>
      <c r="C43" s="2" t="inlineStr">
        <is>
          <t>图示5.48×6.30×8.80mm；孔1.30</t>
        </is>
      </c>
      <c r="D43" s="2" t="inlineStr">
        <is>
          <t>J1、J2、J_BYP、J_MON</t>
        </is>
      </c>
      <c r="E43" s="2" t="n">
        <v>4</v>
      </c>
      <c r="F43" s="2" t="n">
        <v>4</v>
      </c>
      <c r="G43" s="3" t="n"/>
      <c r="H43" s="2">
        <f>IF(G43="","",MAX(F43-G43,0))</f>
        <v/>
      </c>
      <c r="I43" s="2" t="inlineStr">
        <is>
          <t>完整型号/朝向待核</t>
        </is>
      </c>
      <c r="J43" s="2" t="inlineStr">
        <is>
          <t>共4只；照片标称6A/150V；J_BYP是接口，不包含外接开关</t>
        </is>
      </c>
    </row>
    <row r="44" ht="58" customHeight="1">
      <c r="A44" s="2" t="inlineStr">
        <is>
          <t>连接器</t>
        </is>
      </c>
      <c r="B44" s="2" t="inlineStr">
        <is>
          <t>1×4直排针，P2.54</t>
        </is>
      </c>
      <c r="C44" s="2" t="inlineStr">
        <is>
          <t>直插，针长/塑高待核</t>
        </is>
      </c>
      <c r="D44" s="2" t="inlineStr">
        <is>
          <t>J_AUX12、J_AUX5</t>
        </is>
      </c>
      <c r="E44" s="2" t="n">
        <v>2</v>
      </c>
      <c r="F44" s="2" t="n">
        <v>2</v>
      </c>
      <c r="G44" s="3" t="n"/>
      <c r="H44" s="2">
        <f>IF(G44="","",MAX(F44-G44,0))</f>
        <v/>
      </c>
      <c r="I44" s="2" t="inlineStr">
        <is>
          <t>配对件待核</t>
        </is>
      </c>
      <c r="J44" s="2" t="inlineStr">
        <is>
          <t>共2只；与LM2596HV通过排线相接，不直接按四角焊盘插装</t>
        </is>
      </c>
    </row>
    <row r="45" ht="58" customHeight="1">
      <c r="A45" s="2" t="inlineStr">
        <is>
          <t>连接器</t>
        </is>
      </c>
      <c r="B45" s="2" t="inlineStr">
        <is>
          <t>2×8排针，P2.54</t>
        </is>
      </c>
      <c r="C45" s="2" t="inlineStr">
        <is>
          <t>直插；配对高度待核</t>
        </is>
      </c>
      <c r="D45" s="2" t="inlineStr">
        <is>
          <t>J_CTL</t>
        </is>
      </c>
      <c r="E45" s="2" t="n">
        <v>1</v>
      </c>
      <c r="F45" s="2" t="n">
        <v>1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1只，16针；PA6监测走独立J_MON，不占此16针</t>
        </is>
      </c>
    </row>
    <row r="46" ht="58" customHeight="1">
      <c r="A46" s="2" t="inlineStr">
        <is>
          <t>测试点</t>
        </is>
      </c>
      <c r="B46" s="2" t="inlineStr">
        <is>
          <t>裸铜测试焊盘，直径1.5mm</t>
        </is>
      </c>
      <c r="C46" s="2" t="inlineStr">
        <is>
          <t>PCB焊盘；默认不买测试柱</t>
        </is>
      </c>
      <c r="D46" s="2" t="inlineStr">
        <is>
          <t>TP1、TP2、TP3、TP4、TP5、TP6、TP7、TP8、TP9、TP10、TP11、TP12、TP13、TP14</t>
        </is>
      </c>
      <c r="E46" s="2" t="n">
        <v>14</v>
      </c>
      <c r="F46" s="2" t="n">
        <v>0</v>
      </c>
      <c r="G46" s="3" t="n"/>
      <c r="H46" s="2">
        <f>IF(G46="","",MAX(F46-G46,0))</f>
        <v/>
      </c>
      <c r="I46" s="2" t="inlineStr">
        <is>
          <t>默认无需采购</t>
        </is>
      </c>
      <c r="J46" s="2" t="inlineStr">
        <is>
          <t>14个设计测试点，实物采购数量为0；若改测试柱需同步封装</t>
        </is>
      </c>
    </row>
  </sheetData>
  <autoFilter ref="A1:J46"/>
  <dataValidations count="1">
    <dataValidation sqref="G2:G46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用户已确认IR2184直插</t>
        </is>
      </c>
      <c r="I2" s="2" t="inlineStr">
        <is>
          <t>与既有DIP8_300一致；保留设计PbF标注，不把家族确认当成完整订货号/厂家确认；库存数量另填；IR2104不可代装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两只0805已确认；完整料号/介质待核</t>
        </is>
      </c>
      <c r="I25" s="2" t="inlineStr">
        <is>
          <t>共2只；C6来自原参数表，C_A3本轮由用户明确0805并替换原1206占位；实际介质与偏压后容量待核，库存另填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C0805</t>
        </is>
      </c>
      <c r="D26" s="2" t="inlineStr">
        <is>
          <t>10μF/25V，建议X7R</t>
        </is>
      </c>
      <c r="E26" s="2" t="inlineStr">
        <is>
          <t>0805</t>
        </is>
      </c>
      <c r="F26" s="2" t="n">
        <v>1</v>
      </c>
      <c r="G26" s="2" t="n">
        <v>1</v>
      </c>
      <c r="H26" s="2" t="inlineStr">
        <is>
          <t>两只0805已确认；完整料号/介质待核</t>
        </is>
      </c>
      <c r="I26" s="2" t="inlineStr">
        <is>
          <t>共2只；C6来自原参数表，C_A3本轮由用户明确0805并替换原1206占位；实际介质与偏压后容量待核，库存另填</t>
        </is>
      </c>
      <c r="J26" s="2" t="inlineStr">
        <is>
          <t>用户明确0805；10μF/25V保持，原1206暂定封装改C0805；中心(92,25)mm/90°保持，焊盘缩小并各向中心移动0.5mm；实际介质/完整料号及偏压容量待归档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100nF/50V，X7R（统一采购建议）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用户已确认另购100nF/0805；数量/耐压/介质待核</t>
        </is>
      </c>
      <c r="I27" s="2" t="inlineStr">
        <is>
          <t>每板设计16只，用户回复买了0805，确认另有100nF备料；不将16只需求填作库存。50V/X7R仍为统一采购建议，实际料号/耐压/介质待核；472批次独立记4.7nF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100nF/50V，X7R（统一采购建议）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用户已确认另购100nF/0805；数量/耐压/介质待核</t>
        </is>
      </c>
      <c r="I28" s="2" t="inlineStr">
        <is>
          <t>每板设计16只，用户回复买了0805，确认另有100nF备料；不将16只需求填作库存。50V/X7R仍为统一采购建议，实际料号/耐压/介质待核；472批次独立记4.7nF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100nF/50V，X7R（统一采购建议）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用户已确认另购100nF/0805；数量/耐压/介质待核</t>
        </is>
      </c>
      <c r="I29" s="2" t="inlineStr">
        <is>
          <t>每板设计16只，用户回复买了0805，确认另有100nF备料；不将16只需求填作库存。50V/X7R仍为统一采购建议，实际料号/耐压/介质待核；472批次独立记4.7nF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100nF/50V，X7R（统一采购建议）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用户已确认另购100nF/0805；数量/耐压/介质待核</t>
        </is>
      </c>
      <c r="I30" s="2" t="inlineStr">
        <is>
          <t>每板设计16只，用户回复买了0805，确认另有100nF备料；不将16只需求填作库存。50V/X7R仍为统一采购建议，实际料号/耐压/介质待核；472批次独立记4.7nF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100nF/50V，X7R（统一采购建议）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用户已确认另购100nF/0805；数量/耐压/介质待核</t>
        </is>
      </c>
      <c r="I31" s="2" t="inlineStr">
        <is>
          <t>每板设计16只，用户回复买了0805，确认另有100nF备料；不将16只需求填作库存。50V/X7R仍为统一采购建议，实际料号/耐压/介质待核；472批次独立记4.7nF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100nF/50V，X7R（统一采购建议）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用户已确认另购100nF/0805；数量/耐压/介质待核</t>
        </is>
      </c>
      <c r="I32" s="2" t="inlineStr">
        <is>
          <t>每板设计16只，用户回复买了0805，确认另有100nF备料；不将16只需求填作库存。50V/X7R仍为统一采购建议，实际料号/耐压/介质待核；472批次独立记4.7nF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100nF/50V，X7R（统一采购建议）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用户已确认另购100nF/0805；数量/耐压/介质待核</t>
        </is>
      </c>
      <c r="I33" s="2" t="inlineStr">
        <is>
          <t>每板设计16只，用户回复买了0805，确认另有100nF备料；不将16只需求填作库存。50V/X7R仍为统一采购建议，实际料号/耐压/介质待核；472批次独立记4.7nF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100nF/50V，X7R（统一采购建议）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用户已确认另购100nF/0805；数量/耐压/介质待核</t>
        </is>
      </c>
      <c r="I34" s="2" t="inlineStr">
        <is>
          <t>每板设计16只，用户回复买了0805，确认另有100nF备料；不将16只需求填作库存。50V/X7R仍为统一采购建议，实际料号/耐压/介质待核；472批次独立记4.7nF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100nF/50V，X7R（统一采购建议）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用户已确认另购100nF/0805；数量/耐压/介质待核</t>
        </is>
      </c>
      <c r="I35" s="2" t="inlineStr">
        <is>
          <t>每板设计16只，用户回复买了0805，确认另有100nF备料；不将16只需求填作库存。50V/X7R仍为统一采购建议，实际料号/耐压/介质待核；472批次独立记4.7nF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100nF/50V，X7R（统一采购建议）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用户已确认另购100nF/0805；数量/耐压/介质待核</t>
        </is>
      </c>
      <c r="I36" s="2" t="inlineStr">
        <is>
          <t>每板设计16只，用户回复买了0805，确认另有100nF备料；不将16只需求填作库存。50V/X7R仍为统一采购建议，实际料号/耐压/介质待核；472批次独立记4.7nF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100nF/50V，X7R（统一采购建议）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用户已确认另购100nF/0805；数量/耐压/介质待核</t>
        </is>
      </c>
      <c r="I37" s="2" t="inlineStr">
        <is>
          <t>每板设计16只，用户回复买了0805，确认另有100nF备料；不将16只需求填作库存。50V/X7R仍为统一采购建议，实际料号/耐压/介质待核；472批次独立记4.7nF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100nF/50V，X7R（统一采购建议）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用户已确认另购100nF/0805；数量/耐压/介质待核</t>
        </is>
      </c>
      <c r="I38" s="2" t="inlineStr">
        <is>
          <t>每板设计16只，用户回复买了0805，确认另有100nF备料；不将16只需求填作库存。50V/X7R仍为统一采购建议，实际料号/耐压/介质待核；472批次独立记4.7nF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100nF/50V，X7R（统一采购建议）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用户已确认另购100nF/0805；数量/耐压/介质待核</t>
        </is>
      </c>
      <c r="I39" s="2" t="inlineStr">
        <is>
          <t>每板设计16只，用户回复买了0805，确认另有100nF备料；不将16只需求填作库存。50V/X7R仍为统一采购建议，实际料号/耐压/介质待核；472批次独立记4.7nF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100nF/50V，X7R（统一采购建议）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用户已确认另购100nF/0805；数量/耐压/介质待核</t>
        </is>
      </c>
      <c r="I40" s="2" t="inlineStr">
        <is>
          <t>每板设计16只，用户回复买了0805，确认另有100nF备料；不将16只需求填作库存。50V/X7R仍为统一采购建议，实际料号/耐压/介质待核；472批次独立记4.7nF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100nF/50V，X7R（统一采购建议）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用户已确认另购100nF/0805；数量/耐压/介质待核</t>
        </is>
      </c>
      <c r="I41" s="2" t="inlineStr">
        <is>
          <t>每板设计16只，用户回复买了0805，确认另有100nF备料；不将16只需求填作库存。50V/X7R仍为统一采购建议，实际料号/耐压/介质待核；472批次独立记4.7nF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100nF/50V，X7R（统一采购建议）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用户已确认另购100nF/0805；数量/耐压/介质待核</t>
        </is>
      </c>
      <c r="I42" s="2" t="inlineStr">
        <is>
          <t>每板设计16只，用户回复买了0805，确认另有100nF备料；不将16只需求填作库存。50V/X7R仍为统一采购建议，实际料号/耐压/介质待核；472批次独立记4.7nF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4.7nF/50V，建议统一C0G/NP0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用户已确认该批容量4.7nF；数量/介质另核</t>
        </is>
      </c>
      <c r="I43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4.7nF/50V，建议统一C0G/NP0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用户已确认该批容量4.7nF；数量/介质另核</t>
        </is>
      </c>
      <c r="I44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4.7nF/50V，建议统一C0G/NP0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用户已确认该批容量4.7nF；数量/介质另核</t>
        </is>
      </c>
      <c r="I45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4.7nF/50V，建议统一C0G/NP0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用户已确认该批容量4.7nF；数量/介质另核</t>
        </is>
      </c>
      <c r="I46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4.7nF/50V，建议统一C0G/NP0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用户已确认该批容量4.7nF；数量/介质另核</t>
        </is>
      </c>
      <c r="I47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设计IR2184PbF，DIP8</t>
        </is>
      </c>
      <c r="D2" s="2" t="inlineStr">
        <is>
          <t>用户已确认IR2184直插；无需本轮改板，不默认补购；完整订货号/库存数量另记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C2/C4/C6/C_A3</t>
        </is>
      </c>
      <c r="B8" s="2" t="inlineStr">
        <is>
          <t>原C1206占位</t>
        </is>
      </c>
      <c r="C8" s="2" t="inlineStr">
        <is>
          <t>现均0805；C4为10μF/50V</t>
        </is>
      </c>
      <c r="D8" s="2" t="inlineStr">
        <is>
          <t>C_A3本轮由用户单独确认0805，10μF/25V保持</t>
        </is>
      </c>
    </row>
    <row r="9" ht="58" customHeight="1">
      <c r="A9" s="2" t="inlineStr">
        <is>
          <t>100nF电容</t>
        </is>
      </c>
      <c r="B9" s="2" t="inlineStr">
        <is>
          <t>原472批次实际4.7nF；现确认另购100nF/0805</t>
        </is>
      </c>
      <c r="C9" s="2" t="inlineStr">
        <is>
          <t>Rev C2仍需100nF共16只</t>
        </is>
      </c>
      <c r="D9" s="2" t="inlineStr">
        <is>
          <t>已购状态确认，数量/耐压/介质待核；不默认库存16只或已经足量</t>
        </is>
      </c>
    </row>
    <row r="10" ht="58" customHeight="1">
      <c r="A10" s="2" t="inlineStr">
        <is>
          <t>4.7nF电容</t>
        </is>
      </c>
      <c r="B10" s="2" t="inlineStr">
        <is>
          <t>用户确认所询问批次实际4.7nF</t>
        </is>
      </c>
      <c r="C10" s="2" t="inlineStr">
        <is>
          <t>C7/C8/C9/C10/C_VINP_ADC共5只</t>
        </is>
      </c>
      <c r="D10" s="2" t="inlineStr">
        <is>
          <t>容量确认；可用数量/耐压/介质另核，C_VINP_ADC要求C0G，不凭容量认定相容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2026-10-27T14:20:11Z</dcterms:created>
  <dcterms:modified xmlns:dcterms="http://purl.org/dc/terms/" xmlns:xsi="http://www.w3.org/2001/XMLSchema-instance" xsi:type="dcterms:W3CDTF">2026-10-27T14:20:11Z</dcterms:modified>
</cp:coreProperties>
</file>