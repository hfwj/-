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'使用说明'!$A$1:$B$19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Rev C2 PCB复核版（120×90mm）；分流器按商品图建库，F1按最新5×20/2A快断和单夹P5.66确认更新；采购差额以B3/Rev B中途补料后为基准。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U1须IR2184PbF，不能直接用IR2104；RS_L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参数表填在100nF项的CL21B472JBANNNC含472，通常对应4.7nF；100nF需按实际正确料号核对，不能批量错装。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未确认封装</t>
        </is>
      </c>
      <c r="B14" s="2" t="inlineStr">
        <is>
          <t>F1组合间距/方向试装、分流器平面深度及焊脚径/完整包络、C_A3封装、D1实际封装和外壳固定仍需核对。</t>
        </is>
      </c>
    </row>
    <row r="15" ht="46" customHeight="1">
      <c r="A15" s="2" t="inlineStr">
        <is>
          <t>电感</t>
        </is>
      </c>
      <c r="B15" s="2" t="inlineStr">
        <is>
          <t>65125图示6A Max不是饱和电流保证；源设计仍要求Isat≥3A、Irms≥1.5A、DCR≤0.15Ω。</t>
        </is>
      </c>
    </row>
    <row r="16" ht="46" customHeight="1">
      <c r="A16" s="2" t="inlineStr">
        <is>
          <t>当前制造状态</t>
        </is>
      </c>
      <c r="B16" s="2" t="inlineStr">
        <is>
          <t>PCB仍有未布连接，客户端打开、原生ERC/DRC未完成；清单提供采购核对依据，不是制板放行。</t>
        </is>
      </c>
    </row>
    <row r="17" ht="46" customHeight="1">
      <c r="A17" s="2" t="inlineStr">
        <is>
          <t>本次原理图影响</t>
        </is>
      </c>
      <c r="B17" s="2" t="inlineStr">
        <is>
          <t>相对6135e14，电气网络/脚号、2A熔断额定及阻容值保持；F1由6×30标注改为5×20 FAST，封装关联/说明同步，源文件保留。</t>
        </is>
      </c>
    </row>
    <row r="18" ht="46" customHeight="1">
      <c r="A18" s="2" t="inlineStr">
        <is>
          <t>本次器件/PCB影响</t>
        </is>
      </c>
      <c r="B18" s="2" t="inlineStr">
        <is>
          <t>F1改用最新5×20快断管及P5.66管夹，四孔位置/槽尺寸改变；双夹15mm只作试装初值。分流器和其他器件保持；仿真/固件未改。</t>
        </is>
      </c>
    </row>
    <row r="19" ht="46" customHeight="1">
      <c r="A19" s="2" t="inlineStr">
        <is>
          <t>本次仿真/固件影响</t>
        </is>
      </c>
      <c r="B19" s="2" t="inlineStr">
        <is>
          <t>没有修改或运行Multisim、ngspice及STM32固件，不据此重新宣称效率或保护实测通过。</t>
        </is>
      </c>
    </row>
  </sheetData>
  <autoFilter ref="A1:B19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重点补购/核对</t>
        </is>
      </c>
      <c r="J2" s="2" t="inlineStr">
        <is>
          <t>Rev C2要求；IR2104不可直接代装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电气额定待核</t>
        </is>
      </c>
      <c r="J10" s="2" t="inlineStr">
        <is>
          <t>图示220μH/6A Max/DCR≤55mΩ，6A Max不是Isat证明；卧式需换布局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</t>
        </is>
      </c>
      <c r="E19" s="2" t="n">
        <v>1</v>
      </c>
      <c r="F19" s="2" t="n">
        <v>1</v>
      </c>
      <c r="G19" s="3" t="n"/>
      <c r="H19" s="2">
        <f>IF(G19="","",MAX(F19-G19,0))</f>
        <v/>
      </c>
      <c r="I19" s="2" t="inlineStr">
        <is>
          <t>核对实物料号</t>
        </is>
      </c>
      <c r="J19" s="2" t="inlineStr">
        <is>
          <t>按参数表2×1.25mm改0805；介质和有效容量待核</t>
        </is>
      </c>
    </row>
    <row r="20" ht="58" customHeight="1">
      <c r="A20" s="2" t="inlineStr">
        <is>
          <t>贴片电容</t>
        </is>
      </c>
      <c r="B20" s="2" t="inlineStr">
        <is>
          <t>10μF/25V，建议X7R</t>
        </is>
      </c>
      <c r="C20" s="2" t="inlineStr">
        <is>
          <t>1206，暂保留</t>
        </is>
      </c>
      <c r="D20" s="2" t="inlineStr">
        <is>
          <t>C_A3</t>
        </is>
      </c>
      <c r="E20" s="2" t="n">
        <v>1</v>
      </c>
      <c r="F20" s="2" t="n">
        <v>1</v>
      </c>
      <c r="G20" s="3" t="n"/>
      <c r="H20" s="2">
        <f>IF(G20="","",MAX(F20-G20,0))</f>
        <v/>
      </c>
      <c r="I20" s="2" t="inlineStr">
        <is>
          <t>封装待确认</t>
        </is>
      </c>
      <c r="J20" s="2" t="inlineStr">
        <is>
          <t>参数表未填写本件；不能从C6推断为0805</t>
        </is>
      </c>
    </row>
    <row r="21" ht="58" customHeight="1">
      <c r="A21" s="2" t="inlineStr">
        <is>
          <t>贴片电容</t>
        </is>
      </c>
      <c r="B21" s="2" t="inlineStr">
        <is>
          <t>100nF/50V，X7R（统一采购建议）</t>
        </is>
      </c>
      <c r="C21" s="2" t="inlineStr">
        <is>
          <t>0805</t>
        </is>
      </c>
      <c r="D21" s="2" t="inlineStr">
        <is>
          <t>C5、C_U2、C_U3、C_U4、C_A2、C_REF_POS、C_REF_NEG、C_REF_OV、C_U5、C_U9、C11、C_U6、C_U7、C_U8、C_REF_IOUT、C_IOUT_PROT</t>
        </is>
      </c>
      <c r="E21" s="2" t="n">
        <v>16</v>
      </c>
      <c r="F21" s="2" t="n">
        <v>16</v>
      </c>
      <c r="G21" s="3" t="n"/>
      <c r="H21" s="2">
        <f>IF(G21="","",MAX(F21-G21,0))</f>
        <v/>
      </c>
      <c r="I21" s="2" t="inlineStr">
        <is>
          <t>料号需纠错</t>
        </is>
      </c>
      <c r="J21" s="2" t="inlineStr">
        <is>
          <t>合计16只；C_IOUT_PROT源要求25V，其余按原参数表50V统一采购；472是4.7nF，不能代用100nF</t>
        </is>
      </c>
    </row>
    <row r="22" ht="58" customHeight="1">
      <c r="A22" s="2" t="inlineStr">
        <is>
          <t>贴片电容</t>
        </is>
      </c>
      <c r="B22" s="2" t="inlineStr">
        <is>
          <t>4.7nF/50V，建议统一C0G/NP0</t>
        </is>
      </c>
      <c r="C22" s="2" t="inlineStr">
        <is>
          <t>0805</t>
        </is>
      </c>
      <c r="D22" s="2" t="inlineStr">
        <is>
          <t>C7、C8、C9、C10、C_VINP_ADC</t>
        </is>
      </c>
      <c r="E22" s="2" t="n">
        <v>5</v>
      </c>
      <c r="F22" s="2" t="n">
        <v>5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共5只；C_VINP_ADC明确C0G，其余按源要求可选相容介质；不把它们当100nF</t>
        </is>
      </c>
    </row>
    <row r="23" ht="58" customHeight="1">
      <c r="A23" s="2" t="inlineStr">
        <is>
          <t>贴片电容</t>
        </is>
      </c>
      <c r="B23" s="2" t="inlineStr">
        <is>
          <t>1nF/50V，建议C0G/NP0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/>
      <c r="H23" s="2">
        <f>IF(G23="","",MAX(F23-G23,0))</f>
        <v/>
      </c>
      <c r="I23" s="2" t="inlineStr">
        <is>
          <t>核对已购物料</t>
        </is>
      </c>
      <c r="J23" s="2" t="inlineStr">
        <is>
          <t>正常装配2只；C_IL_PROT明确C0G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SS56，≥60V/≥5A</t>
        </is>
      </c>
      <c r="C39" s="2" t="inlineStr">
        <is>
          <t>SMB / DO-214AA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D1实际封装待核</t>
        </is>
      </c>
      <c r="J39" s="2" t="inlineStr">
        <is>
          <t>共2只；工程定义1=K、2=A；销售商名称不代替完整型号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2A快断保险管，5×20mm，商品标250V</t>
        </is>
      </c>
      <c r="C43" s="2" t="inlineStr">
        <is>
          <t>配5×20mm管夹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尺寸/快断已给资料；实际电气性能待核</t>
        </is>
      </c>
      <c r="J43" s="2" t="inlineStr">
        <is>
          <t>商品BXG16519；250V未注明AC/DC分断条件，启动不误熔断与故障分断待验证；管夹另列2只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重点补购/核对</t>
        </is>
      </c>
      <c r="I2" s="2" t="inlineStr">
        <is>
          <t>Rev C2要求；IR2104不可直接代装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电气额定待核</t>
        </is>
      </c>
      <c r="I13" s="2" t="inlineStr">
        <is>
          <t>图示220μH/6A Max/DCR≤55mΩ，6A Max不是Isat证明；卧式需换布局</t>
        </is>
      </c>
      <c r="J13" s="2" t="inlineStr">
        <is>
          <t>65125 220μH±10%；DCR≤55mΩ；卖家6A Max≠Isat；立式20×10投影、P10、线径0.75；孔1.1为设计值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核对实物料号</t>
        </is>
      </c>
      <c r="I25" s="2" t="inlineStr">
        <is>
          <t>按参数表2×1.25mm改0805；介质和有效容量待核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C1206</t>
        </is>
      </c>
      <c r="D26" s="2" t="inlineStr">
        <is>
          <t>10μF/25V，建议X7R</t>
        </is>
      </c>
      <c r="E26" s="2" t="inlineStr">
        <is>
          <t>1206，暂保留</t>
        </is>
      </c>
      <c r="F26" s="2" t="n">
        <v>1</v>
      </c>
      <c r="G26" s="2" t="n">
        <v>1</v>
      </c>
      <c r="H26" s="2" t="inlineStr">
        <is>
          <t>封装待确认</t>
        </is>
      </c>
      <c r="I26" s="2" t="inlineStr">
        <is>
          <t>参数表未填写本件；不能从C6推断为0805</t>
        </is>
      </c>
      <c r="J26" s="2" t="inlineStr">
        <is>
          <t>资料未填写，暂保留C1206；不能从C6推定本件也为0805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100nF/50V，X7R（统一采购建议）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料号需纠错</t>
        </is>
      </c>
      <c r="I27" s="2" t="inlineStr">
        <is>
          <t>合计16只；C_IOUT_PROT源要求25V，其余按原参数表50V统一采购；472是4.7nF，不能代用100nF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100nF/50V，X7R（统一采购建议）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料号需纠错</t>
        </is>
      </c>
      <c r="I28" s="2" t="inlineStr">
        <is>
          <t>合计16只；C_IOUT_PROT源要求25V，其余按原参数表50V统一采购；472是4.7nF，不能代用100nF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100nF/50V，X7R（统一采购建议）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料号需纠错</t>
        </is>
      </c>
      <c r="I29" s="2" t="inlineStr">
        <is>
          <t>合计16只；C_IOUT_PROT源要求25V，其余按原参数表50V统一采购；472是4.7nF，不能代用100nF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100nF/50V，X7R（统一采购建议）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料号需纠错</t>
        </is>
      </c>
      <c r="I30" s="2" t="inlineStr">
        <is>
          <t>合计16只；C_IOUT_PROT源要求25V，其余按原参数表50V统一采购；472是4.7nF，不能代用100nF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100nF/50V，X7R（统一采购建议）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料号需纠错</t>
        </is>
      </c>
      <c r="I31" s="2" t="inlineStr">
        <is>
          <t>合计16只；C_IOUT_PROT源要求25V，其余按原参数表50V统一采购；472是4.7nF，不能代用100nF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100nF/50V，X7R（统一采购建议）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料号需纠错</t>
        </is>
      </c>
      <c r="I32" s="2" t="inlineStr">
        <is>
          <t>合计16只；C_IOUT_PROT源要求25V，其余按原参数表50V统一采购；472是4.7nF，不能代用100nF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100nF/50V，X7R（统一采购建议）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料号需纠错</t>
        </is>
      </c>
      <c r="I33" s="2" t="inlineStr">
        <is>
          <t>合计16只；C_IOUT_PROT源要求25V，其余按原参数表50V统一采购；472是4.7nF，不能代用100nF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100nF/50V，X7R（统一采购建议）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料号需纠错</t>
        </is>
      </c>
      <c r="I34" s="2" t="inlineStr">
        <is>
          <t>合计16只；C_IOUT_PROT源要求25V，其余按原参数表50V统一采购；472是4.7nF，不能代用100nF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100nF/50V，X7R（统一采购建议）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料号需纠错</t>
        </is>
      </c>
      <c r="I35" s="2" t="inlineStr">
        <is>
          <t>合计16只；C_IOUT_PROT源要求25V，其余按原参数表50V统一采购；472是4.7nF，不能代用100nF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100nF/50V，X7R（统一采购建议）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料号需纠错</t>
        </is>
      </c>
      <c r="I36" s="2" t="inlineStr">
        <is>
          <t>合计16只；C_IOUT_PROT源要求25V，其余按原参数表50V统一采购；472是4.7nF，不能代用100nF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100nF/50V，X7R（统一采购建议）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料号需纠错</t>
        </is>
      </c>
      <c r="I37" s="2" t="inlineStr">
        <is>
          <t>合计16只；C_IOUT_PROT源要求25V，其余按原参数表50V统一采购；472是4.7nF，不能代用100nF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100nF/50V，X7R（统一采购建议）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料号需纠错</t>
        </is>
      </c>
      <c r="I38" s="2" t="inlineStr">
        <is>
          <t>合计16只；C_IOUT_PROT源要求25V，其余按原参数表50V统一采购；472是4.7nF，不能代用100nF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100nF/50V，X7R（统一采购建议）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料号需纠错</t>
        </is>
      </c>
      <c r="I39" s="2" t="inlineStr">
        <is>
          <t>合计16只；C_IOUT_PROT源要求25V，其余按原参数表50V统一采购；472是4.7nF，不能代用100nF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100nF/50V，X7R（统一采购建议）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料号需纠错</t>
        </is>
      </c>
      <c r="I40" s="2" t="inlineStr">
        <is>
          <t>合计16只；C_IOUT_PROT源要求25V，其余按原参数表50V统一采购；472是4.7nF，不能代用100nF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100nF/50V，X7R（统一采购建议）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料号需纠错</t>
        </is>
      </c>
      <c r="I41" s="2" t="inlineStr">
        <is>
          <t>合计16只；C_IOUT_PROT源要求25V，其余按原参数表50V统一采购；472是4.7nF，不能代用100nF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100nF/50V，X7R（统一采购建议）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料号需纠错</t>
        </is>
      </c>
      <c r="I42" s="2" t="inlineStr">
        <is>
          <t>合计16只；C_IOUT_PROT源要求25V，其余按原参数表50V统一采购；472是4.7nF，不能代用100nF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核对已购物料</t>
        </is>
      </c>
      <c r="I43" s="2" t="inlineStr">
        <is>
          <t>共5只；C_VINP_ADC明确C0G，其余按源要求可选相容介质；不把它们当100nF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核对已购物料</t>
        </is>
      </c>
      <c r="I44" s="2" t="inlineStr">
        <is>
          <t>共5只；C_VINP_ADC明确C0G，其余按源要求可选相容介质；不把它们当100nF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核对已购物料</t>
        </is>
      </c>
      <c r="I45" s="2" t="inlineStr">
        <is>
          <t>共5只；C_VINP_ADC明确C0G，其余按源要求可选相容介质；不把它们当100nF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核对已购物料</t>
        </is>
      </c>
      <c r="I46" s="2" t="inlineStr">
        <is>
          <t>共5只；C_VINP_ADC明确C0G，其余按源要求可选相容介质；不把它们当100nF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核对已购物料</t>
        </is>
      </c>
      <c r="I47" s="2" t="inlineStr">
        <is>
          <t>共5只；C_VINP_ADC明确C0G，其余按源要求可选相容介质；不把它们当100nF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SS56</t>
        </is>
      </c>
      <c r="C90" s="2" t="inlineStr">
        <is>
          <t>SMB_DO214AA</t>
        </is>
      </c>
      <c r="D90" s="2" t="inlineStr">
        <is>
          <t>SS56，≥60V/≥5A</t>
        </is>
      </c>
      <c r="E90" s="2" t="inlineStr">
        <is>
          <t>SMB / DO-214AA</t>
        </is>
      </c>
      <c r="F90" s="2" t="n">
        <v>1</v>
      </c>
      <c r="G90" s="2" t="n">
        <v>1</v>
      </c>
      <c r="H90" s="2" t="inlineStr">
        <is>
          <t>D1实际封装待核</t>
        </is>
      </c>
      <c r="I90" s="2" t="inlineStr">
        <is>
          <t>共2只；工程定义1=K、2=A；销售商名称不代替完整型号</t>
        </is>
      </c>
      <c r="J90" s="2" t="inlineStr"/>
    </row>
    <row r="91" ht="58" customHeight="1">
      <c r="A91" s="2" t="inlineStr">
        <is>
          <t>D_FREE</t>
        </is>
      </c>
      <c r="B91" s="2" t="inlineStr">
        <is>
          <t>SS56 / 60V / 5A</t>
        </is>
      </c>
      <c r="C91" s="2" t="inlineStr">
        <is>
          <t>SMB_DO214AA</t>
        </is>
      </c>
      <c r="D91" s="2" t="inlineStr">
        <is>
          <t>SS56，≥60V/≥5A</t>
        </is>
      </c>
      <c r="E91" s="2" t="inlineStr">
        <is>
          <t>SMB / DO-214AA</t>
        </is>
      </c>
      <c r="F91" s="2" t="n">
        <v>1</v>
      </c>
      <c r="G91" s="2" t="n">
        <v>1</v>
      </c>
      <c r="H91" s="2" t="inlineStr">
        <is>
          <t>D1实际封装待核</t>
        </is>
      </c>
      <c r="I91" s="2" t="inlineStr">
        <is>
          <t>共2只；工程定义1=K、2=A；销售商名称不代替完整型号</t>
        </is>
      </c>
      <c r="J91" s="2" t="inlineStr">
        <is>
          <t>阴极1接SW，阳极2接GND；紧贴QL；不可承诺消除全部Qrr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IR2184PbF，DIP8</t>
        </is>
      </c>
      <c r="D2" s="2" t="inlineStr">
        <is>
          <t>按Rev C2；不可直接代装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</t>
        </is>
      </c>
      <c r="B8" s="2" t="inlineStr">
        <is>
          <t>旧C1206占位</t>
        </is>
      </c>
      <c r="C8" s="2" t="inlineStr">
        <is>
          <t>0805；C4为10μF/50V</t>
        </is>
      </c>
      <c r="D8" s="2" t="inlineStr">
        <is>
          <t>C_A3仍暂留1206，不跟随改动</t>
        </is>
      </c>
    </row>
    <row r="9" ht="58" customHeight="1">
      <c r="A9" s="2" t="inlineStr">
        <is>
          <t>100nF电容</t>
        </is>
      </c>
      <c r="B9" s="2" t="inlineStr">
        <is>
          <t>旧参数表14只，填了含472的料号</t>
        </is>
      </c>
      <c r="C9" s="2" t="inlineStr">
        <is>
          <t>Rev C2合计16只</t>
        </is>
      </c>
      <c r="D9" s="2" t="inlineStr">
        <is>
          <t>纠正容量料号；不要把4.7nF当100nF</t>
        </is>
      </c>
    </row>
    <row r="10" ht="58" customHeight="1">
      <c r="A10" s="2" t="inlineStr">
        <is>
          <t>4.7nF电容</t>
        </is>
      </c>
      <c r="B10" s="2" t="inlineStr">
        <is>
          <t>旧表5只但不含最新位号说明</t>
        </is>
      </c>
      <c r="C10" s="2" t="inlineStr">
        <is>
          <t>C7/C8/C9/C10/C_VINP_ADC共5只</t>
        </is>
      </c>
      <c r="D10" s="2" t="inlineStr">
        <is>
          <t>保持VIN_POST滤波器件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2026-10-27T12:55:00Z</dcterms:created>
  <dcterms:modified xmlns:dcterms="http://purl.org/dc/terms/" xmlns:xsi="http://www.w3.org/2001/XMLSchema-instance" xsi:type="dcterms:W3CDTF">2026-10-27T12:55:00Z</dcterms:modified>
</cp:coreProperties>
</file>