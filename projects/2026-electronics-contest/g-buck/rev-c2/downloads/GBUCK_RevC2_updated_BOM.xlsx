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采购汇总" sheetId="2" state="visible" r:id="rId2"/>
    <sheet xmlns:r="http://schemas.openxmlformats.org/officeDocument/2006/relationships" name="逐位号_120项" sheetId="3" state="visible" r:id="rId3"/>
    <sheet xmlns:r="http://schemas.openxmlformats.org/officeDocument/2006/relationships" name="外接模块与辅料" sheetId="4" state="visible" r:id="rId4"/>
    <sheet xmlns:r="http://schemas.openxmlformats.org/officeDocument/2006/relationships" name="重点变化与待确认" sheetId="5" state="visible" r:id="rId5"/>
  </sheets>
  <definedNames>
    <definedName name="_xlnm._FilterDatabase" localSheetId="0" hidden="1">'使用说明'!$A$1:$B$20</definedName>
    <definedName name="_xlnm.Print_Titles" localSheetId="0">'使用说明'!$1:$1</definedName>
    <definedName name="_xlnm._FilterDatabase" localSheetId="1" hidden="1">'采购汇总'!$A$1:$J$47</definedName>
    <definedName name="_xlnm.Print_Titles" localSheetId="1">'采购汇总'!$1:$1</definedName>
    <definedName name="_xlnm._FilterDatabase" localSheetId="2" hidden="1">'逐位号_120项'!$A$1:$J$121</definedName>
    <definedName name="_xlnm.Print_Titles" localSheetId="2">'逐位号_120项'!$1:$1</definedName>
    <definedName name="_xlnm._FilterDatabase" localSheetId="3" hidden="1">'外接模块与辅料'!$A$1:$F$13</definedName>
    <definedName name="_xlnm.Print_Titles" localSheetId="3">'外接模块与辅料'!$1:$1</definedName>
    <definedName name="_xlnm._FilterDatabase" localSheetId="4" hidden="1">'重点变化与待确认'!$A$1:$D$13</definedName>
    <definedName name="_xlnm.Print_Titles" localSheetId="4">'重点变化与待确认'!$1:$1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458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0" customWidth="1" min="2" max="2"/>
  </cols>
  <sheetData>
    <row r="1" ht="30" customHeight="1">
      <c r="A1" s="1" t="inlineStr">
        <is>
          <t>项目</t>
        </is>
      </c>
      <c r="B1" s="1" t="inlineStr">
        <is>
          <t>说明</t>
        </is>
      </c>
    </row>
    <row r="2" ht="46" customHeight="1">
      <c r="A2" s="2" t="inlineStr">
        <is>
          <t>版本基准</t>
        </is>
      </c>
      <c r="B2" s="2" t="inlineStr">
        <is>
          <t>本次比较afd277e；用户确认另购C0G批次有2只，单板1只、补购0只、装一板后余1只。仅更新库存和补购记录；X7R批次数量仍待核，设计不改。</t>
        </is>
      </c>
    </row>
    <row r="3" ht="46" customHeight="1">
      <c r="A3" s="2" t="inlineStr">
        <is>
          <t>计数口径</t>
        </is>
      </c>
      <c r="B3" s="2" t="inlineStr">
        <is>
          <t>120个逻辑位号含14个裸测试点、2个DNP预留和1个外置R_PRE。120不等于需购买120个独立实体。</t>
        </is>
      </c>
    </row>
    <row r="4" ht="46" customHeight="1">
      <c r="A4" s="2" t="inlineStr">
        <is>
          <t>默认装配</t>
        </is>
      </c>
      <c r="B4" s="2" t="inlineStr">
        <is>
          <t>120−14裸测试点−2个DNP=104个有料逻辑位号；含R_PRE外置电阻。管夹、模块、开关和线束另表计数。</t>
        </is>
      </c>
    </row>
    <row r="5" ht="46" customHeight="1">
      <c r="A5" s="2" t="inlineStr">
        <is>
          <t>库存填写</t>
        </is>
      </c>
      <c r="B5" s="2" t="inlineStr">
        <is>
          <t>采购汇总G列填写现有可用数量，H列自动计算需补购数量；100nF/X7R已填50只，4.7nF/C0G已填2只，两项单板补购均0只。其他空白表示库存未核，不代表未购买。</t>
        </is>
      </c>
    </row>
    <row r="6" ht="46" customHeight="1">
      <c r="A6" s="2" t="inlineStr">
        <is>
          <t>DNP</t>
        </is>
      </c>
      <c r="B6" s="2" t="inlineStr">
        <is>
          <t>R_SN/C_SN各设计1个，默认装配0个；实测振铃后决定是否装配和调值。</t>
        </is>
      </c>
    </row>
    <row r="7" ht="46" customHeight="1">
      <c r="A7" s="2" t="inlineStr">
        <is>
          <t>采购规格</t>
        </is>
      </c>
      <c r="B7" s="2" t="inlineStr">
        <is>
          <t>标“建议/统一采购”的额定、精度或介质是采购建议，区别于源图原始标注；实际原始值在逐位号页保留。</t>
        </is>
      </c>
    </row>
    <row r="8" ht="46" customHeight="1">
      <c r="A8" s="2" t="inlineStr">
        <is>
          <t>普通/精密电阻功率</t>
        </is>
      </c>
      <c r="B8" s="2" t="inlineStr">
        <is>
          <t>除源图另有功率要求的R_BL/R_SN/R_PRE和分流器外，0805电阻统一≥0.125W是本表采购建议，不冒充源图已规定的功率。</t>
        </is>
      </c>
    </row>
    <row r="9" ht="46" customHeight="1">
      <c r="A9" s="2" t="inlineStr">
        <is>
          <t>优先核对</t>
        </is>
      </c>
      <c r="B9" s="2" t="inlineStr">
        <is>
          <t>U1型号家族/直插类别已确认；保留IR2184PbF设计标注，不再列为型号封装待确认或默认补购；库存数量另填，IR2104不可代装。RS_L 25mΩ在B3清单中已包含，旧表记未购，现库存待核，不再自动假定库存为0。</t>
        </is>
      </c>
    </row>
    <row r="10" ht="46" customHeight="1">
      <c r="A10" s="2" t="inlineStr">
        <is>
          <t>电容数量</t>
        </is>
      </c>
      <c r="B10" s="2" t="inlineStr">
        <is>
          <t>100nF共16只、4.7nF共5只、默认1nF共2只，另有1只DNP的1nF/100V。</t>
        </is>
      </c>
    </row>
    <row r="11" ht="46" customHeight="1">
      <c r="A11" s="2" t="inlineStr">
        <is>
          <t>料号纠错</t>
        </is>
      </c>
      <c r="B11" s="2" t="inlineStr">
        <is>
          <t>472批次已确认4.7nF；随后用户确认另外买了100nF/0805，两批分开记录。100nF/50V/0805/X7R已购50只，单板需求16只，补购0只，装配一板后余34只；完整料号/容差未提供；用户现已确认实际型号CL21B472JBANNNC，先前口头C0G由实际型号纠正为X7R；该款50V/±5%/0805按用户编码图明确。C_VINP_ADC所需的4.7nF/50V/C0G/0805另购状态已获确认；该批C0G库存2只、单板用1只/补购0只；完整料号/容差及X7R库存数量待核，两类不混计。</t>
        </is>
      </c>
    </row>
    <row r="12" ht="46" customHeight="1">
      <c r="A12" s="2" t="inlineStr">
        <is>
          <t>分流器新证据</t>
        </is>
      </c>
      <c r="B12" s="2" t="inlineStr">
        <is>
          <t>RS_IN/OUT：50mΩ P10、图示线径0.8、体高12、标称5A；RS_L：25mΩ P5、图示线径0.7、体高7。电阻体线径不自动证明焊接直脚径，精度/连续功率仍待核。</t>
        </is>
      </c>
    </row>
    <row r="13" ht="46" customHeight="1">
      <c r="A13" s="2" t="inlineStr">
        <is>
          <t>保险夹确认</t>
        </is>
      </c>
      <c r="B13" s="2" t="inlineStr">
        <is>
          <t>用户明确单夹脚中心距5.66mm；脚宽1.1/材料厚0.5。槽0.9×1.5及双夹中心距15mm是设计选择，装入5×20实物核对端帽接触/止挡后方可冻结；不能使用旧6×30/7.7尺寸。</t>
        </is>
      </c>
    </row>
    <row r="14" ht="46" customHeight="1">
      <c r="A14" s="2" t="inlineStr">
        <is>
          <t>二极管确认</t>
        </is>
      </c>
      <c r="B14" s="2" t="inlineStr">
        <is>
          <t>两只SR560/SMB已由用户明确；沿用现有SMB标准几何，1=K/2=A。DO-201AD图不用于贴片建库，厂家完整电气手册/推荐焊盘最终复核仍需归档。</t>
        </is>
      </c>
    </row>
    <row r="15" ht="46" customHeight="1">
      <c r="A15" s="2" t="inlineStr">
        <is>
          <t>未确认封装</t>
        </is>
      </c>
      <c r="B15" s="2" t="inlineStr">
        <is>
          <t>C_A3的0805类别已确认；F1组合试装、分流器完整包络及外壳固定仍待核。C_A3完整料号/介质/偏压有效容量、二极管厂家数据待最终复核。</t>
        </is>
      </c>
    </row>
    <row r="16" ht="46" customHeight="1">
      <c r="A16" s="2" t="inlineStr">
        <is>
          <t>电感</t>
        </is>
      </c>
      <c r="B16" s="2" t="inlineStr">
        <is>
          <t>65125图示6A Max不是饱和电流保证；源设计仍要求Isat≥3A、Irms≥1.5A、DCR≤0.15Ω。</t>
        </is>
      </c>
    </row>
    <row r="17" ht="46" customHeight="1">
      <c r="A17" s="2" t="inlineStr">
        <is>
          <t>当前制造状态</t>
        </is>
      </c>
      <c r="B17" s="2" t="inlineStr">
        <is>
          <t>PCB仍有未布连接，客户端打开、原生ERC/DRC未完成；清单提供采购核对依据，不是制板放行。</t>
        </is>
      </c>
    </row>
    <row r="18" ht="46" customHeight="1">
      <c r="A18" s="2" t="inlineStr">
        <is>
          <t>本次原理图影响</t>
        </is>
      </c>
      <c r="B18" s="2" t="inlineStr">
        <is>
          <t>相对afd277e，仅登记C_VINP_ADC所需C0G库存2只；原理图和PCB原生文件未改，网络/脚号/设计参数与单板用量保持，4.7nF仍4只X7R加1只C0G。</t>
        </is>
      </c>
    </row>
    <row r="19" ht="46" customHeight="1">
      <c r="A19" s="2" t="inlineStr">
        <is>
          <t>本次器件/PCB影响</t>
        </is>
      </c>
      <c r="B19" s="2" t="inlineStr">
        <is>
          <t>C_VINP_ADC的C0G款已购2只，单板用1只，补购0只，预计装一板余1只；Excel保留补购公式，CSV写当前2/0，未实际扣减库存。完整料号/容差待核；46采购行/120位号/104默认有料、PCB几何及100nF库存50只保持，无新增或改板要求。</t>
        </is>
      </c>
    </row>
    <row r="20" ht="46" customHeight="1">
      <c r="A20" s="2" t="inlineStr">
        <is>
          <t>本次仿真/固件影响</t>
        </is>
      </c>
      <c r="B20" s="2" t="inlineStr">
        <is>
          <t>未修改或运行Multisim/ngspice/STM32固件，旧器件/功能等效模型未同步为SR560厂家模型，不证明新选型压降、温升、效率或保护实测通过。</t>
        </is>
      </c>
    </row>
  </sheetData>
  <autoFilter ref="A1:B20"/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1" customWidth="1" min="2" max="2"/>
    <col width="40" customWidth="1" min="3" max="3"/>
    <col width="70" customWidth="1" min="4" max="4"/>
    <col width="12" customWidth="1" min="5" max="5"/>
    <col width="15" customWidth="1" min="6" max="6"/>
    <col width="19" customWidth="1" min="7" max="7"/>
    <col width="19" customWidth="1" min="8" max="8"/>
    <col width="25" customWidth="1" min="9" max="9"/>
    <col width="100" customWidth="1" min="10" max="10"/>
  </cols>
  <sheetData>
    <row r="1" ht="30" customHeight="1">
      <c r="A1" s="1" t="inlineStr">
        <is>
          <t>类别</t>
        </is>
      </c>
      <c r="B1" s="1" t="inlineStr">
        <is>
          <t>采购规格/型号</t>
        </is>
      </c>
      <c r="C1" s="1" t="inlineStr">
        <is>
          <t>采购封装/尺寸</t>
        </is>
      </c>
      <c r="D1" s="1" t="inlineStr">
        <is>
          <t>对应位号</t>
        </is>
      </c>
      <c r="E1" s="1" t="inlineStr">
        <is>
          <t>设计数量</t>
        </is>
      </c>
      <c r="F1" s="1" t="inlineStr">
        <is>
          <t>默认装配数量</t>
        </is>
      </c>
      <c r="G1" s="1" t="inlineStr">
        <is>
          <t>现有可用数量_填写</t>
        </is>
      </c>
      <c r="H1" s="1" t="inlineStr">
        <is>
          <t>需补购数量_自动</t>
        </is>
      </c>
      <c r="I1" s="1" t="inlineStr">
        <is>
          <t>资料状态</t>
        </is>
      </c>
      <c r="J1" s="1" t="inlineStr">
        <is>
          <t>采购与封装说明</t>
        </is>
      </c>
    </row>
    <row r="2" ht="58" customHeight="1">
      <c r="A2" s="2" t="inlineStr">
        <is>
          <t>芯片</t>
        </is>
      </c>
      <c r="B2" s="2" t="inlineStr">
        <is>
          <t>IR2184PbF</t>
        </is>
      </c>
      <c r="C2" s="2" t="inlineStr">
        <is>
          <t>DIP-8，300mil</t>
        </is>
      </c>
      <c r="D2" s="2" t="inlineStr">
        <is>
          <t>U1</t>
        </is>
      </c>
      <c r="E2" s="2" t="n">
        <v>1</v>
      </c>
      <c r="F2" s="2" t="n">
        <v>1</v>
      </c>
      <c r="G2" s="3" t="n"/>
      <c r="H2" s="2">
        <f>IF(G2="","",MAX(F2-G2,0))</f>
        <v/>
      </c>
      <c r="I2" s="2" t="inlineStr">
        <is>
          <t>用户已确认IR2184直插</t>
        </is>
      </c>
      <c r="J2" s="2" t="inlineStr">
        <is>
          <t>与既有DIP8_300一致；保留设计PbF标注，不把家族确认当成完整订货号/厂家确认；库存数量另填；IR2104不可代装</t>
        </is>
      </c>
    </row>
    <row r="3" ht="58" customHeight="1">
      <c r="A3" s="2" t="inlineStr">
        <is>
          <t>芯片</t>
        </is>
      </c>
      <c r="B3" s="2" t="inlineStr">
        <is>
          <t>INA240A1D，增益20</t>
        </is>
      </c>
      <c r="C3" s="2" t="inlineStr">
        <is>
          <t>SOIC-8</t>
        </is>
      </c>
      <c r="D3" s="2" t="inlineStr">
        <is>
          <t>U2、U4</t>
        </is>
      </c>
      <c r="E3" s="2" t="n">
        <v>2</v>
      </c>
      <c r="F3" s="2" t="n">
        <v>2</v>
      </c>
      <c r="G3" s="3" t="n"/>
      <c r="H3" s="2">
        <f>IF(G3="","",MAX(F3-G3,0))</f>
        <v/>
      </c>
      <c r="I3" s="2" t="inlineStr">
        <is>
          <t>型号/实物核对</t>
        </is>
      </c>
      <c r="J3" s="2" t="inlineStr">
        <is>
          <t>必须A1D；不要买成PW/TSSOP或其他增益</t>
        </is>
      </c>
    </row>
    <row r="4" ht="58" customHeight="1">
      <c r="A4" s="2" t="inlineStr">
        <is>
          <t>芯片</t>
        </is>
      </c>
      <c r="B4" s="2" t="inlineStr">
        <is>
          <t>INA181A1DBV，增益20</t>
        </is>
      </c>
      <c r="C4" s="2" t="inlineStr">
        <is>
          <t>SOT-23-6</t>
        </is>
      </c>
      <c r="D4" s="2" t="inlineStr">
        <is>
          <t>U3</t>
        </is>
      </c>
      <c r="E4" s="2" t="n">
        <v>1</v>
      </c>
      <c r="F4" s="2" t="n">
        <v>1</v>
      </c>
      <c r="G4" s="3" t="n"/>
      <c r="H4" s="2">
        <f>IF(G4="","",MAX(F4-G4,0))</f>
        <v/>
      </c>
      <c r="I4" s="2" t="inlineStr">
        <is>
          <t>核对已购物料</t>
        </is>
      </c>
      <c r="J4" s="2" t="inlineStr">
        <is>
          <t>必须A1、DBV封装</t>
        </is>
      </c>
    </row>
    <row r="5" ht="58" customHeight="1">
      <c r="A5" s="2" t="inlineStr">
        <is>
          <t>芯片</t>
        </is>
      </c>
      <c r="B5" s="2" t="inlineStr">
        <is>
          <t>LM393DR（原图标LM393）</t>
        </is>
      </c>
      <c r="C5" s="2" t="inlineStr">
        <is>
          <t>SOIC-8</t>
        </is>
      </c>
      <c r="D5" s="2" t="inlineStr">
        <is>
          <t>U5、U9</t>
        </is>
      </c>
      <c r="E5" s="2" t="n">
        <v>2</v>
      </c>
      <c r="F5" s="2" t="n">
        <v>2</v>
      </c>
      <c r="G5" s="3" t="n"/>
      <c r="H5" s="2">
        <f>IF(G5="","",MAX(F5-G5,0))</f>
        <v/>
      </c>
      <c r="I5" s="2" t="inlineStr">
        <is>
          <t>核对已购物料</t>
        </is>
      </c>
      <c r="J5" s="2" t="inlineStr">
        <is>
          <t>DR为参数表中的完整采购型号，开集电极输出</t>
        </is>
      </c>
    </row>
    <row r="6" ht="58" customHeight="1">
      <c r="A6" s="2" t="inlineStr">
        <is>
          <t>芯片</t>
        </is>
      </c>
      <c r="B6" s="2" t="inlineStr">
        <is>
          <t>SN74HC74DR</t>
        </is>
      </c>
      <c r="C6" s="2" t="inlineStr">
        <is>
          <t>SOIC-14</t>
        </is>
      </c>
      <c r="D6" s="2" t="inlineStr">
        <is>
          <t>U6</t>
        </is>
      </c>
      <c r="E6" s="2" t="n">
        <v>1</v>
      </c>
      <c r="F6" s="2" t="n">
        <v>1</v>
      </c>
      <c r="G6" s="3" t="n"/>
      <c r="H6" s="2">
        <f>IF(G6="","",MAX(F6-G6,0))</f>
        <v/>
      </c>
      <c r="I6" s="2" t="inlineStr">
        <is>
          <t>核对已购物料</t>
        </is>
      </c>
      <c r="J6" s="2" t="inlineStr">
        <is>
          <t>不能与74HC08/74HC14混装</t>
        </is>
      </c>
    </row>
    <row r="7" ht="58" customHeight="1">
      <c r="A7" s="2" t="inlineStr">
        <is>
          <t>芯片</t>
        </is>
      </c>
      <c r="B7" s="2" t="inlineStr">
        <is>
          <t>SN74HC08DR</t>
        </is>
      </c>
      <c r="C7" s="2" t="inlineStr">
        <is>
          <t>SOIC-14</t>
        </is>
      </c>
      <c r="D7" s="2" t="inlineStr">
        <is>
          <t>U7</t>
        </is>
      </c>
      <c r="E7" s="2" t="n">
        <v>1</v>
      </c>
      <c r="F7" s="2" t="n">
        <v>1</v>
      </c>
      <c r="G7" s="3" t="n"/>
      <c r="H7" s="2">
        <f>IF(G7="","",MAX(F7-G7,0))</f>
        <v/>
      </c>
      <c r="I7" s="2" t="inlineStr">
        <is>
          <t>核对已购物料</t>
        </is>
      </c>
      <c r="J7" s="2" t="inlineStr">
        <is>
          <t>与源图逻辑门型号一致</t>
        </is>
      </c>
    </row>
    <row r="8" ht="58" customHeight="1">
      <c r="A8" s="2" t="inlineStr">
        <is>
          <t>芯片</t>
        </is>
      </c>
      <c r="B8" s="2" t="inlineStr">
        <is>
          <t>SN74HC14DR</t>
        </is>
      </c>
      <c r="C8" s="2" t="inlineStr">
        <is>
          <t>SOIC-14</t>
        </is>
      </c>
      <c r="D8" s="2" t="inlineStr">
        <is>
          <t>U8</t>
        </is>
      </c>
      <c r="E8" s="2" t="n">
        <v>1</v>
      </c>
      <c r="F8" s="2" t="n">
        <v>1</v>
      </c>
      <c r="G8" s="3" t="n"/>
      <c r="H8" s="2">
        <f>IF(G8="","",MAX(F8-G8,0))</f>
        <v/>
      </c>
      <c r="I8" s="2" t="inlineStr">
        <is>
          <t>核对已购物料</t>
        </is>
      </c>
      <c r="J8" s="2" t="inlineStr">
        <is>
          <t>施密特反相器</t>
        </is>
      </c>
    </row>
    <row r="9" ht="58" customHeight="1">
      <c r="A9" s="2" t="inlineStr">
        <is>
          <t>功率器件</t>
        </is>
      </c>
      <c r="B9" s="2" t="inlineStr">
        <is>
          <t>IRF540NPbF（IRF540N），N沟道100V</t>
        </is>
      </c>
      <c r="C9" s="2" t="inlineStr">
        <is>
          <t>TO-220-3，直立</t>
        </is>
      </c>
      <c r="D9" s="2" t="inlineStr">
        <is>
          <t>QH、QL</t>
        </is>
      </c>
      <c r="E9" s="2" t="n">
        <v>2</v>
      </c>
      <c r="F9" s="2" t="n">
        <v>2</v>
      </c>
      <c r="G9" s="3" t="n"/>
      <c r="H9" s="2">
        <f>IF(G9="","",MAX(F9-G9,0))</f>
        <v/>
      </c>
      <c r="I9" s="2" t="inlineStr">
        <is>
          <t>核对已购物料</t>
        </is>
      </c>
      <c r="J9" s="2" t="inlineStr">
        <is>
          <t>1G、2D、3S；背板是漏极；散热按实测确定</t>
        </is>
      </c>
    </row>
    <row r="10" ht="58" customHeight="1">
      <c r="A10" s="2" t="inlineStr">
        <is>
          <t>功率器件</t>
        </is>
      </c>
      <c r="B10" s="2" t="inlineStr">
        <is>
          <t>220μH±10%；Isat≥3A、Irms≥1.5A、DCR≤0.15Ω</t>
        </is>
      </c>
      <c r="C10" s="2" t="inlineStr">
        <is>
          <t>65125立式；20×10mm投影；P10</t>
        </is>
      </c>
      <c r="D10" s="2" t="inlineStr">
        <is>
          <t>L1</t>
        </is>
      </c>
      <c r="E10" s="2" t="n">
        <v>1</v>
      </c>
      <c r="F10" s="2" t="n">
        <v>1</v>
      </c>
      <c r="G10" s="3" t="n"/>
      <c r="H10" s="2">
        <f>IF(G10="","",MAX(F10-G10,0))</f>
        <v/>
      </c>
      <c r="I10" s="2" t="inlineStr">
        <is>
          <t>用户已确认立式；电气额定待核</t>
        </is>
      </c>
      <c r="J10" s="2" t="inlineStr">
        <is>
          <t>沿用当前立式布局；图示6A Max不是Isat证明</t>
        </is>
      </c>
    </row>
    <row r="11" ht="58" customHeight="1">
      <c r="A11" s="2" t="inlineStr">
        <is>
          <t>分流电阻</t>
        </is>
      </c>
      <c r="B11" s="2" t="inlineStr">
        <is>
          <t>50mΩ，1%，≥1W（精度/功率仍待核）</t>
        </is>
      </c>
      <c r="C11" s="2" t="inlineStr">
        <is>
          <t>M型康铜丝直插；图示P10、线径0.8、体高12mm</t>
        </is>
      </c>
      <c r="D11" s="2" t="inlineStr">
        <is>
          <t>RS_IN、RS_OUT</t>
        </is>
      </c>
      <c r="E11" s="2" t="n">
        <v>2</v>
      </c>
      <c r="F11" s="2" t="n">
        <v>2</v>
      </c>
      <c r="G11" s="3" t="n"/>
      <c r="H11" s="2">
        <f>IF(G11="","",MAX(F11-G11,0))</f>
        <v/>
      </c>
      <c r="I11" s="2" t="inlineStr">
        <is>
          <t>脚距/线径已获商品图支持</t>
        </is>
      </c>
      <c r="J11" s="2" t="inlineStr">
        <is>
          <t>达科峰图标50mΩ/5A；已有备料可抵扣；连续功率、精度及平面厚度待核；独立Kelvin取样</t>
        </is>
      </c>
    </row>
    <row r="12" ht="58" customHeight="1">
      <c r="A12" s="2" t="inlineStr">
        <is>
          <t>分流电阻</t>
        </is>
      </c>
      <c r="B12" s="2" t="inlineStr">
        <is>
          <t>25mΩ，1%，≥1W（精度/功率仍待核）</t>
        </is>
      </c>
      <c r="C12" s="2" t="inlineStr">
        <is>
          <t>U型直插；图示P5、线径0.7、体高7mm</t>
        </is>
      </c>
      <c r="D12" s="2" t="inlineStr">
        <is>
          <t>RS_L</t>
        </is>
      </c>
      <c r="E12" s="2" t="n">
        <v>1</v>
      </c>
      <c r="F12" s="2" t="n">
        <v>1</v>
      </c>
      <c r="G12" s="3" t="n"/>
      <c r="H12" s="2">
        <f>IF(G12="","",MAX(F12-G12,0))</f>
        <v/>
      </c>
      <c r="I12" s="2" t="inlineStr">
        <is>
          <t>25mΩ商品图已给尺寸；库存待核</t>
        </is>
      </c>
      <c r="J12" s="2" t="inlineStr">
        <is>
          <t>DILIN迪林商品图；P10占位改P5；图未给精度/功率及实际焊脚径/深度；B3已列，库存未知</t>
        </is>
      </c>
    </row>
    <row r="13" ht="58" customHeight="1">
      <c r="A13" s="2" t="inlineStr">
        <is>
          <t>功率电阻</t>
        </is>
      </c>
      <c r="B13" s="2" t="inlineStr">
        <is>
          <t>22Ω，5W，单次脉冲耐量≥0.3J</t>
        </is>
      </c>
      <c r="C13" s="2" t="inlineStr">
        <is>
          <t>外置；主板仅P5.08引出焊盘</t>
        </is>
      </c>
      <c r="D13" s="2" t="inlineStr">
        <is>
          <t>R_PRE</t>
        </is>
      </c>
      <c r="E13" s="2" t="n">
        <v>1</v>
      </c>
      <c r="F13" s="2" t="n">
        <v>1</v>
      </c>
      <c r="G13" s="3" t="n"/>
      <c r="H13" s="2">
        <f>IF(G13="","",MAX(F13-G13,0))</f>
        <v/>
      </c>
      <c r="I13" s="2" t="inlineStr">
        <is>
          <t>待选完整型号</t>
        </is>
      </c>
      <c r="J13" s="2" t="inlineStr">
        <is>
          <t>器件实体外置固定；不按引出焊盘外形购买电阻</t>
        </is>
      </c>
    </row>
    <row r="14" ht="58" customHeight="1">
      <c r="A14" s="2" t="inlineStr">
        <is>
          <t>电解电容</t>
        </is>
      </c>
      <c r="B14" s="2" t="inlineStr">
        <is>
          <t>470μF/50V，低ESR，105℃</t>
        </is>
      </c>
      <c r="C14" s="2" t="inlineStr">
        <is>
          <t>径向直插D10×H18mm，P5</t>
        </is>
      </c>
      <c r="D14" s="2" t="inlineStr">
        <is>
          <t>C1</t>
        </is>
      </c>
      <c r="E14" s="2" t="n">
        <v>1</v>
      </c>
      <c r="F14" s="2" t="n">
        <v>1</v>
      </c>
      <c r="G14" s="3" t="n"/>
      <c r="H14" s="2">
        <f>IF(G14="","",MAX(F14-G14,0))</f>
        <v/>
      </c>
      <c r="I14" s="2" t="inlineStr">
        <is>
          <t>完整料号/纹波待核</t>
        </is>
      </c>
      <c r="J14" s="2" t="inlineStr">
        <is>
          <t>脚径0.6mm；板上预留Dmax10.5；ESR/纹波条件待核</t>
        </is>
      </c>
    </row>
    <row r="15" ht="58" customHeight="1">
      <c r="A15" s="2" t="inlineStr">
        <is>
          <t>电解电容</t>
        </is>
      </c>
      <c r="B15" s="2" t="inlineStr">
        <is>
          <t>470μF/35V，低ESR，105℃</t>
        </is>
      </c>
      <c r="C15" s="2" t="inlineStr">
        <is>
          <t>径向直插D10×H13mm，P5</t>
        </is>
      </c>
      <c r="D15" s="2" t="inlineStr">
        <is>
          <t>C3</t>
        </is>
      </c>
      <c r="E15" s="2" t="n">
        <v>1</v>
      </c>
      <c r="F15" s="2" t="n">
        <v>1</v>
      </c>
      <c r="G15" s="3" t="n"/>
      <c r="H15" s="2">
        <f>IF(G15="","",MAX(F15-G15,0))</f>
        <v/>
      </c>
      <c r="I15" s="2" t="inlineStr">
        <is>
          <t>完整料号/纹波待核</t>
        </is>
      </c>
      <c r="J15" s="2" t="inlineStr">
        <is>
          <t>核对实物耐压及极性；不要混用50V器件的高度记录</t>
        </is>
      </c>
    </row>
    <row r="16" ht="58" customHeight="1">
      <c r="A16" s="2" t="inlineStr">
        <is>
          <t>贴片电容</t>
        </is>
      </c>
      <c r="B16" s="2" t="inlineStr">
        <is>
          <t>1μF/50V，X7R</t>
        </is>
      </c>
      <c r="C16" s="2" t="inlineStr">
        <is>
          <t>0805</t>
        </is>
      </c>
      <c r="D16" s="2" t="inlineStr">
        <is>
          <t>C2</t>
        </is>
      </c>
      <c r="E16" s="2" t="n">
        <v>1</v>
      </c>
      <c r="F16" s="2" t="n">
        <v>1</v>
      </c>
      <c r="G16" s="3" t="n"/>
      <c r="H16" s="2">
        <f>IF(G16="","",MAX(F16-G16,0))</f>
        <v/>
      </c>
      <c r="I16" s="2" t="inlineStr">
        <is>
          <t>核对已购物料</t>
        </is>
      </c>
      <c r="J16" s="2" t="inlineStr">
        <is>
          <t>本轮由旧C1206改0805；核对直流偏压后的有效容量</t>
        </is>
      </c>
    </row>
    <row r="17" ht="58" customHeight="1">
      <c r="A17" s="2" t="inlineStr">
        <is>
          <t>贴片电容</t>
        </is>
      </c>
      <c r="B17" s="2" t="inlineStr">
        <is>
          <t>1μF/≥25V，X7R</t>
        </is>
      </c>
      <c r="C17" s="2" t="inlineStr">
        <is>
          <t>0805</t>
        </is>
      </c>
      <c r="D17" s="2" t="inlineStr">
        <is>
          <t>C_BOOT、C_A1、C_DRV</t>
        </is>
      </c>
      <c r="E17" s="2" t="n">
        <v>3</v>
      </c>
      <c r="F17" s="2" t="n">
        <v>3</v>
      </c>
      <c r="G17" s="3" t="n"/>
      <c r="H17" s="2">
        <f>IF(G17="","",MAX(F17-G17,0))</f>
        <v/>
      </c>
      <c r="I17" s="2" t="inlineStr">
        <is>
          <t>核对已购物料</t>
        </is>
      </c>
      <c r="J17" s="2" t="inlineStr">
        <is>
          <t>C_A1原图仅写1μF；建议与自举/驱动统一用≥25V；不降低源图额定</t>
        </is>
      </c>
    </row>
    <row r="18" ht="58" customHeight="1">
      <c r="A18" s="2" t="inlineStr">
        <is>
          <t>贴片电容</t>
        </is>
      </c>
      <c r="B18" s="2" t="inlineStr">
        <is>
          <t>10μF/50V，X7R</t>
        </is>
      </c>
      <c r="C18" s="2" t="inlineStr">
        <is>
          <t>0805</t>
        </is>
      </c>
      <c r="D18" s="2" t="inlineStr">
        <is>
          <t>C4</t>
        </is>
      </c>
      <c r="E18" s="2" t="n">
        <v>1</v>
      </c>
      <c r="F18" s="2" t="n">
        <v>1</v>
      </c>
      <c r="G18" s="3" t="n"/>
      <c r="H18" s="2">
        <f>IF(G18="","",MAX(F18-G18,0))</f>
        <v/>
      </c>
      <c r="I18" s="2" t="inlineStr">
        <is>
          <t>偏压后容量待核</t>
        </is>
      </c>
      <c r="J18" s="2" t="inlineStr">
        <is>
          <t>PCB复核版由35V提高到实购50V；必须核对有效容量</t>
        </is>
      </c>
    </row>
    <row r="19" ht="58" customHeight="1">
      <c r="A19" s="2" t="inlineStr">
        <is>
          <t>贴片电容</t>
        </is>
      </c>
      <c r="B19" s="2" t="inlineStr">
        <is>
          <t>10μF/25V，建议X7R</t>
        </is>
      </c>
      <c r="C19" s="2" t="inlineStr">
        <is>
          <t>0805</t>
        </is>
      </c>
      <c r="D19" s="2" t="inlineStr">
        <is>
          <t>C6、C_A3</t>
        </is>
      </c>
      <c r="E19" s="2" t="n">
        <v>2</v>
      </c>
      <c r="F19" s="2" t="n">
        <v>2</v>
      </c>
      <c r="G19" s="3" t="n"/>
      <c r="H19" s="2">
        <f>IF(G19="","",MAX(F19-G19,0))</f>
        <v/>
      </c>
      <c r="I19" s="2" t="inlineStr">
        <is>
          <t>两只0805已确认；完整料号/介质待核</t>
        </is>
      </c>
      <c r="J19" s="2" t="inlineStr">
        <is>
          <t>共2只；C6来自原参数表，C_A3本轮由用户明确0805并替换原1206占位；实际介质与偏压后容量待核，库存另填</t>
        </is>
      </c>
    </row>
    <row r="20" ht="58" customHeight="1">
      <c r="A20" s="2" t="inlineStr">
        <is>
          <t>贴片电容</t>
        </is>
      </c>
      <c r="B20" s="2" t="inlineStr">
        <is>
          <t>100nF/50V，X7R</t>
        </is>
      </c>
      <c r="C20" s="2" t="inlineStr">
        <is>
          <t>0805</t>
        </is>
      </c>
      <c r="D20" s="2" t="inlineStr">
        <is>
          <t>C5、C_U2、C_U3、C_U4、C_A2、C_REF_POS、C_REF_NEG、C_REF_OV、C_U5、C_U9、C11、C_U6、C_U7、C_U8、C_REF_IOUT、C_IOUT_PROT</t>
        </is>
      </c>
      <c r="E20" s="2" t="n">
        <v>16</v>
      </c>
      <c r="F20" s="2" t="n">
        <v>16</v>
      </c>
      <c r="G20" s="3" t="n">
        <v>50</v>
      </c>
      <c r="H20" s="2">
        <f>IF(G20="","",MAX(F20-G20,0))</f>
        <v/>
      </c>
      <c r="I20" s="2" t="inlineStr">
        <is>
          <t>100nF/50V/0805/X7R，已购50只</t>
        </is>
      </c>
      <c r="J20" s="2" t="inlineStr">
        <is>
          <t>用户对数量回复50；按单板用16只，补购0只，装一板后余34只。完整料号/容差未提供；472批次独立记4.7nF，不混计库存</t>
        </is>
      </c>
    </row>
    <row r="21" ht="58" customHeight="1">
      <c r="A21" s="2" t="inlineStr">
        <is>
          <t>贴片电容</t>
        </is>
      </c>
      <c r="B21" s="2" t="inlineStr">
        <is>
          <t>CL21B472JBANNNC；4.7nF/50V，±5%，X7R</t>
        </is>
      </c>
      <c r="C21" s="2" t="inlineStr">
        <is>
          <t>0805</t>
        </is>
      </c>
      <c r="D21" s="2" t="inlineStr">
        <is>
          <t>C7、C8、C9、C10</t>
        </is>
      </c>
      <c r="E21" s="2" t="n">
        <v>4</v>
      </c>
      <c r="F21" s="2" t="n">
        <v>4</v>
      </c>
      <c r="G21" s="3" t="n"/>
      <c r="H21" s="2">
        <f>IF(G21="","",MAX(F21-G21,0))</f>
        <v/>
      </c>
      <c r="I21" s="2" t="inlineStr">
        <is>
          <t>用户已确认完整型号；库存数量待核</t>
        </is>
      </c>
      <c r="J21" s="2" t="inlineStr">
        <is>
          <t>用户回复就是这个型号；按其编码图确认为0805/4.7nF/50V/±5%/X7R，单板4只，四个位号源图未指定C0G。不得用于C_VINP_ADC，不与C0G库存混计</t>
        </is>
      </c>
    </row>
    <row r="22" ht="58" customHeight="1">
      <c r="A22" s="2" t="inlineStr">
        <is>
          <t>贴片电容</t>
        </is>
      </c>
      <c r="B22" s="2" t="inlineStr">
        <is>
          <t>4.7nF/50V，C0G/NP0</t>
        </is>
      </c>
      <c r="C22" s="2" t="inlineStr">
        <is>
          <t>0805</t>
        </is>
      </c>
      <c r="D22" s="2" t="inlineStr">
        <is>
          <t>C_VINP_ADC</t>
        </is>
      </c>
      <c r="E22" s="2" t="n">
        <v>1</v>
      </c>
      <c r="F22" s="2" t="n">
        <v>1</v>
      </c>
      <c r="G22" s="3" t="n">
        <v>2</v>
      </c>
      <c r="H22" s="2">
        <f>IF(G22="","",MAX(F22-G22,0))</f>
        <v/>
      </c>
      <c r="I22" s="2" t="inlineStr">
        <is>
          <t>4.7nF/50V/C0G/0805，已购2只</t>
        </is>
      </c>
      <c r="J22" s="2" t="inlineStr">
        <is>
          <t>用户对C0G批次数量回复2；单板1只，补购0只，装配一板后余1只。与C7～C10的CL21B472JBANNNC/X7R库存分开；完整料号/容差未提供</t>
        </is>
      </c>
    </row>
    <row r="23" ht="58" customHeight="1">
      <c r="A23" s="2" t="inlineStr">
        <is>
          <t>贴片电容</t>
        </is>
      </c>
      <c r="B23" s="2" t="inlineStr">
        <is>
          <t>1nF/50V，建议C0G/NP0</t>
        </is>
      </c>
      <c r="C23" s="2" t="inlineStr">
        <is>
          <t>0805</t>
        </is>
      </c>
      <c r="D23" s="2" t="inlineStr">
        <is>
          <t>C_IL_ADC、C_IL_PROT</t>
        </is>
      </c>
      <c r="E23" s="2" t="n">
        <v>2</v>
      </c>
      <c r="F23" s="2" t="n">
        <v>2</v>
      </c>
      <c r="G23" s="3" t="n"/>
      <c r="H23" s="2">
        <f>IF(G23="","",MAX(F23-G23,0))</f>
        <v/>
      </c>
      <c r="I23" s="2" t="inlineStr">
        <is>
          <t>核对已购物料</t>
        </is>
      </c>
      <c r="J23" s="2" t="inlineStr">
        <is>
          <t>正常装配2只；C_IL_PROT明确C0G</t>
        </is>
      </c>
    </row>
    <row r="24" ht="58" customHeight="1">
      <c r="A24" s="2" t="inlineStr">
        <is>
          <t>贴片电容</t>
        </is>
      </c>
      <c r="B24" s="2" t="inlineStr">
        <is>
          <t>1nF/100V，C0G/NP0，DNP</t>
        </is>
      </c>
      <c r="C24" s="2" t="inlineStr">
        <is>
          <t>0805</t>
        </is>
      </c>
      <c r="D24" s="2" t="inlineStr">
        <is>
          <t>C_SN</t>
        </is>
      </c>
      <c r="E24" s="2" t="n">
        <v>1</v>
      </c>
      <c r="F24" s="2" t="n">
        <v>0</v>
      </c>
      <c r="G24" s="3" t="n"/>
      <c r="H24" s="2">
        <f>IF(G24="","",MAX(F24-G24,0))</f>
        <v/>
      </c>
      <c r="I24" s="2" t="inlineStr">
        <is>
          <t>DNP，默认不装</t>
        </is>
      </c>
      <c r="J24" s="2" t="inlineStr">
        <is>
          <t>吸收电路预留，实测振铃后决定是否装配及调值</t>
        </is>
      </c>
    </row>
    <row r="25" ht="58" customHeight="1">
      <c r="A25" s="2" t="inlineStr">
        <is>
          <t>普通电阻</t>
        </is>
      </c>
      <c r="B25" s="2" t="inlineStr">
        <is>
          <t>4.7Ω，建议1%、≥0.125W</t>
        </is>
      </c>
      <c r="C25" s="2" t="inlineStr">
        <is>
          <t>0805</t>
        </is>
      </c>
      <c r="D25" s="2" t="inlineStr">
        <is>
          <t>RG_H、RG_L</t>
        </is>
      </c>
      <c r="E25" s="2" t="n">
        <v>2</v>
      </c>
      <c r="F25" s="2" t="n">
        <v>2</v>
      </c>
      <c r="G25" s="3" t="n"/>
      <c r="H25" s="2">
        <f>IF(G25="","",MAX(F25-G25,0))</f>
        <v/>
      </c>
      <c r="I25" s="2" t="inlineStr">
        <is>
          <t>核对已购物料</t>
        </is>
      </c>
      <c r="J25" s="2" t="inlineStr">
        <is>
          <t>不要沿用Rev B中的旧栅极电阻值</t>
        </is>
      </c>
    </row>
    <row r="26" ht="58" customHeight="1">
      <c r="A26" s="2" t="inlineStr">
        <is>
          <t>普通电阻</t>
        </is>
      </c>
      <c r="B26" s="2" t="inlineStr">
        <is>
          <t>1Ω，建议1%、≥0.125W</t>
        </is>
      </c>
      <c r="C26" s="2" t="inlineStr">
        <is>
          <t>0805</t>
        </is>
      </c>
      <c r="D26" s="2" t="inlineStr">
        <is>
          <t>R_VDDA</t>
        </is>
      </c>
      <c r="E26" s="2" t="n">
        <v>1</v>
      </c>
      <c r="F26" s="2" t="n">
        <v>1</v>
      </c>
      <c r="G26" s="3" t="n"/>
      <c r="H26" s="2">
        <f>IF(G26="","",MAX(F26-G26,0))</f>
        <v/>
      </c>
      <c r="I26" s="2" t="inlineStr">
        <is>
          <t>核对已购物料</t>
        </is>
      </c>
      <c r="J26" s="2" t="inlineStr">
        <is>
          <t>模拟电源串联电阻，不能错装成0Ω</t>
        </is>
      </c>
    </row>
    <row r="27" ht="58" customHeight="1">
      <c r="A27" s="2" t="inlineStr">
        <is>
          <t>普通电阻</t>
        </is>
      </c>
      <c r="B27" s="2" t="inlineStr">
        <is>
          <t>100Ω，建议1%、≥0.125W</t>
        </is>
      </c>
      <c r="C27" s="2" t="inlineStr">
        <is>
          <t>0805</t>
        </is>
      </c>
      <c r="D27" s="2" t="inlineStr">
        <is>
          <t>R_PWM</t>
        </is>
      </c>
      <c r="E27" s="2" t="n">
        <v>1</v>
      </c>
      <c r="F27" s="2" t="n">
        <v>1</v>
      </c>
      <c r="G27" s="3" t="n"/>
      <c r="H27" s="2">
        <f>IF(G27="","",MAX(F27-G27,0))</f>
        <v/>
      </c>
      <c r="I27" s="2" t="inlineStr">
        <is>
          <t>核对已购物料</t>
        </is>
      </c>
      <c r="J27" s="2" t="inlineStr">
        <is>
          <t>与100Ω/0.1%精密电阻分开采购</t>
        </is>
      </c>
    </row>
    <row r="28" ht="58" customHeight="1">
      <c r="A28" s="2" t="inlineStr">
        <is>
          <t>普通电阻</t>
        </is>
      </c>
      <c r="B28" s="2" t="inlineStr">
        <is>
          <t>1kΩ，1%、≥0.125W（统一采购建议）</t>
        </is>
      </c>
      <c r="C28" s="2" t="inlineStr">
        <is>
          <t>0805</t>
        </is>
      </c>
      <c r="D28" s="2" t="inlineStr">
        <is>
          <t>R3、R6、R7、R8、R_IL_ADC、R_VINP_ADC、R_IL_PROT、R_IOUT_PROT</t>
        </is>
      </c>
      <c r="E28" s="2" t="n">
        <v>8</v>
      </c>
      <c r="F28" s="2" t="n">
        <v>8</v>
      </c>
      <c r="G28" s="3" t="n"/>
      <c r="H28" s="2">
        <f>IF(G28="","",MAX(F28-G28,0))</f>
        <v/>
      </c>
      <c r="I28" s="2" t="inlineStr">
        <is>
          <t>核对已购物料</t>
        </is>
      </c>
      <c r="J28" s="2" t="inlineStr">
        <is>
          <t>共8只；两项保护电阻明确要求1%；原图其余未明确精度，建议统一1%</t>
        </is>
      </c>
    </row>
    <row r="29" ht="58" customHeight="1">
      <c r="A29" s="2" t="inlineStr">
        <is>
          <t>普通电阻</t>
        </is>
      </c>
      <c r="B29" s="2" t="inlineStr">
        <is>
          <t>10kΩ，建议1%、≥0.125W</t>
        </is>
      </c>
      <c r="C29" s="2" t="inlineStr">
        <is>
          <t>0805</t>
        </is>
      </c>
      <c r="D29" s="2" t="inlineStr">
        <is>
          <t>R_GSH、R_GSL、R_IN_PD、R_SD_PD、R12、R13、R14、R_EN_PD、R_ARM_PD、R_IOUT_PU</t>
        </is>
      </c>
      <c r="E29" s="2" t="n">
        <v>10</v>
      </c>
      <c r="F29" s="2" t="n">
        <v>10</v>
      </c>
      <c r="G29" s="3" t="n"/>
      <c r="H29" s="2">
        <f>IF(G29="","",MAX(F29-G29,0))</f>
        <v/>
      </c>
      <c r="I29" s="2" t="inlineStr">
        <is>
          <t>核对已购物料</t>
        </is>
      </c>
      <c r="J29" s="2" t="inlineStr">
        <is>
          <t>普通10kΩ共10只；不替代0.1%分压/参考电阻</t>
        </is>
      </c>
    </row>
    <row r="30" ht="58" customHeight="1">
      <c r="A30" s="2" t="inlineStr">
        <is>
          <t>普通电阻</t>
        </is>
      </c>
      <c r="B30" s="2" t="inlineStr">
        <is>
          <t>23kΩ，建议1%、≥0.125W</t>
        </is>
      </c>
      <c r="C30" s="2" t="inlineStr">
        <is>
          <t>0805</t>
        </is>
      </c>
      <c r="D30" s="2" t="inlineStr">
        <is>
          <t>R11</t>
        </is>
      </c>
      <c r="E30" s="2" t="n">
        <v>1</v>
      </c>
      <c r="F30" s="2" t="n">
        <v>1</v>
      </c>
      <c r="G30" s="3" t="n"/>
      <c r="H30" s="2">
        <f>IF(G30="","",MAX(F30-G30,0))</f>
        <v/>
      </c>
      <c r="I30" s="2" t="inlineStr">
        <is>
          <t>核对已购物料</t>
        </is>
      </c>
      <c r="J30" s="2" t="inlineStr">
        <is>
          <t>按23kΩ采购；不直接换成22kΩ</t>
        </is>
      </c>
    </row>
    <row r="31" ht="58" customHeight="1">
      <c r="A31" s="2" t="inlineStr">
        <is>
          <t>精密电阻</t>
        </is>
      </c>
      <c r="B31" s="2" t="inlineStr">
        <is>
          <t>100kΩ，0.1%，≥0.125W</t>
        </is>
      </c>
      <c r="C31" s="2" t="inlineStr">
        <is>
          <t>0805</t>
        </is>
      </c>
      <c r="D31" s="2" t="inlineStr">
        <is>
          <t>R1、R_VINP_TOP</t>
        </is>
      </c>
      <c r="E31" s="2" t="n">
        <v>2</v>
      </c>
      <c r="F31" s="2" t="n">
        <v>2</v>
      </c>
      <c r="G31" s="3" t="n"/>
      <c r="H31" s="2">
        <f>IF(G31="","",MAX(F31-G31,0))</f>
        <v/>
      </c>
      <c r="I31" s="2" t="inlineStr">
        <is>
          <t>精度/料号待核</t>
        </is>
      </c>
      <c r="J31" s="2" t="inlineStr">
        <is>
          <t>温漂未在源图固定；按实购物料记录，不虚构已确认参数</t>
        </is>
      </c>
    </row>
    <row r="32" ht="58" customHeight="1">
      <c r="A32" s="2" t="inlineStr">
        <is>
          <t>精密电阻</t>
        </is>
      </c>
      <c r="B32" s="2" t="inlineStr">
        <is>
          <t>10kΩ，0.1%，≥0.125W</t>
        </is>
      </c>
      <c r="C32" s="2" t="inlineStr">
        <is>
          <t>0805</t>
        </is>
      </c>
      <c r="D32" s="2" t="inlineStr">
        <is>
          <t>R2、R4、R9、R16、R_IOUT_BOT、R_VINP_BOT</t>
        </is>
      </c>
      <c r="E32" s="2" t="n">
        <v>6</v>
      </c>
      <c r="F32" s="2" t="n">
        <v>6</v>
      </c>
      <c r="G32" s="3" t="n"/>
      <c r="H32" s="2">
        <f>IF(G32="","",MAX(F32-G32,0))</f>
        <v/>
      </c>
      <c r="I32" s="2" t="inlineStr">
        <is>
          <t>精度/料号待核</t>
        </is>
      </c>
      <c r="J32" s="2" t="inlineStr">
        <is>
          <t>共6只，与普通10kΩ区分</t>
        </is>
      </c>
    </row>
    <row r="33" ht="58" customHeight="1">
      <c r="A33" s="2" t="inlineStr">
        <is>
          <t>精密电阻</t>
        </is>
      </c>
      <c r="B33" s="2" t="inlineStr">
        <is>
          <t>1kΩ，0.1%，≥0.125W</t>
        </is>
      </c>
      <c r="C33" s="2" t="inlineStr">
        <is>
          <t>0805</t>
        </is>
      </c>
      <c r="D33" s="2" t="inlineStr">
        <is>
          <t>R5</t>
        </is>
      </c>
      <c r="E33" s="2" t="n">
        <v>1</v>
      </c>
      <c r="F33" s="2" t="n">
        <v>1</v>
      </c>
      <c r="G33" s="3" t="n"/>
      <c r="H33" s="2">
        <f>IF(G33="","",MAX(F33-G33,0))</f>
        <v/>
      </c>
      <c r="I33" s="2" t="inlineStr">
        <is>
          <t>精度/料号待核</t>
        </is>
      </c>
      <c r="J33" s="2" t="inlineStr">
        <is>
          <t>与普通1kΩ区分</t>
        </is>
      </c>
    </row>
    <row r="34" ht="58" customHeight="1">
      <c r="A34" s="2" t="inlineStr">
        <is>
          <t>精密电阻</t>
        </is>
      </c>
      <c r="B34" s="2" t="inlineStr">
        <is>
          <t>49.9kΩ，0.1%，≥0.125W</t>
        </is>
      </c>
      <c r="C34" s="2" t="inlineStr">
        <is>
          <t>0805</t>
        </is>
      </c>
      <c r="D34" s="2" t="inlineStr">
        <is>
          <t>R10A、R15A</t>
        </is>
      </c>
      <c r="E34" s="2" t="n">
        <v>2</v>
      </c>
      <c r="F34" s="2" t="n">
        <v>2</v>
      </c>
      <c r="G34" s="3" t="n"/>
      <c r="H34" s="2">
        <f>IF(G34="","",MAX(F34-G34,0))</f>
        <v/>
      </c>
      <c r="I34" s="2" t="inlineStr">
        <is>
          <t>精度/料号待核</t>
        </is>
      </c>
      <c r="J34" s="2" t="inlineStr">
        <is>
          <t>保留49.9kΩ，不用近似值替代</t>
        </is>
      </c>
    </row>
    <row r="35" ht="58" customHeight="1">
      <c r="A35" s="2" t="inlineStr">
        <is>
          <t>精密电阻</t>
        </is>
      </c>
      <c r="B35" s="2" t="inlineStr">
        <is>
          <t>100Ω，0.1%，≥0.125W</t>
        </is>
      </c>
      <c r="C35" s="2" t="inlineStr">
        <is>
          <t>0805</t>
        </is>
      </c>
      <c r="D35" s="2" t="inlineStr">
        <is>
          <t>R10B、R15B</t>
        </is>
      </c>
      <c r="E35" s="2" t="n">
        <v>2</v>
      </c>
      <c r="F35" s="2" t="n">
        <v>2</v>
      </c>
      <c r="G35" s="3" t="n"/>
      <c r="H35" s="2">
        <f>IF(G35="","",MAX(F35-G35,0))</f>
        <v/>
      </c>
      <c r="I35" s="2" t="inlineStr">
        <is>
          <t>精度/料号待核</t>
        </is>
      </c>
      <c r="J35" s="2" t="inlineStr">
        <is>
          <t>共2只，与R_PWM分开</t>
        </is>
      </c>
    </row>
    <row r="36" ht="58" customHeight="1">
      <c r="A36" s="2" t="inlineStr">
        <is>
          <t>精密电阻</t>
        </is>
      </c>
      <c r="B36" s="2" t="inlineStr">
        <is>
          <t>20kΩ，0.1%，≥0.125W</t>
        </is>
      </c>
      <c r="C36" s="2" t="inlineStr">
        <is>
          <t>0805</t>
        </is>
      </c>
      <c r="D36" s="2" t="inlineStr">
        <is>
          <t>R_IOUT_TOP</t>
        </is>
      </c>
      <c r="E36" s="2" t="n">
        <v>1</v>
      </c>
      <c r="F36" s="2" t="n">
        <v>1</v>
      </c>
      <c r="G36" s="3" t="n"/>
      <c r="H36" s="2">
        <f>IF(G36="","",MAX(F36-G36,0))</f>
        <v/>
      </c>
      <c r="I36" s="2" t="inlineStr">
        <is>
          <t>精度/料号待核</t>
        </is>
      </c>
      <c r="J36" s="2" t="inlineStr">
        <is>
          <t>输出告警参考上臂</t>
        </is>
      </c>
    </row>
    <row r="37" ht="58" customHeight="1">
      <c r="A37" s="2" t="inlineStr">
        <is>
          <t>功率电阻</t>
        </is>
      </c>
      <c r="B37" s="2" t="inlineStr">
        <is>
          <t>2.2kΩ，≥0.25W</t>
        </is>
      </c>
      <c r="C37" s="2" t="inlineStr">
        <is>
          <t>1206</t>
        </is>
      </c>
      <c r="D37" s="2" t="inlineStr">
        <is>
          <t>R_BL</t>
        </is>
      </c>
      <c r="E37" s="2" t="n">
        <v>1</v>
      </c>
      <c r="F37" s="2" t="n">
        <v>1</v>
      </c>
      <c r="G37" s="3" t="n"/>
      <c r="H37" s="2">
        <f>IF(G37="","",MAX(F37-G37,0))</f>
        <v/>
      </c>
      <c r="I37" s="2" t="inlineStr">
        <is>
          <t>功率/料号待核</t>
        </is>
      </c>
      <c r="J37" s="2" t="inlineStr">
        <is>
          <t>确认实物额定功率，不能买成普通0805</t>
        </is>
      </c>
    </row>
    <row r="38" ht="58" customHeight="1">
      <c r="A38" s="2" t="inlineStr">
        <is>
          <t>功率电阻</t>
        </is>
      </c>
      <c r="B38" s="2" t="inlineStr">
        <is>
          <t>10Ω，≥0.25W，DNP</t>
        </is>
      </c>
      <c r="C38" s="2" t="inlineStr">
        <is>
          <t>1206</t>
        </is>
      </c>
      <c r="D38" s="2" t="inlineStr">
        <is>
          <t>R_SN</t>
        </is>
      </c>
      <c r="E38" s="2" t="n">
        <v>1</v>
      </c>
      <c r="F38" s="2" t="n">
        <v>0</v>
      </c>
      <c r="G38" s="3" t="n"/>
      <c r="H38" s="2">
        <f>IF(G38="","",MAX(F38-G38,0))</f>
        <v/>
      </c>
      <c r="I38" s="2" t="inlineStr">
        <is>
          <t>DNP，默认不装</t>
        </is>
      </c>
      <c r="J38" s="2" t="inlineStr">
        <is>
          <t>与C_SN配套；由旧0805占位改1206</t>
        </is>
      </c>
    </row>
    <row r="39" ht="58" customHeight="1">
      <c r="A39" s="2" t="inlineStr">
        <is>
          <t>二极管</t>
        </is>
      </c>
      <c r="B39" s="2" t="inlineStr">
        <is>
          <t>SR560，目标60V/5A（用户选型）</t>
        </is>
      </c>
      <c r="C39" s="2" t="inlineStr">
        <is>
          <t>SMB / DO-214AA，贴片</t>
        </is>
      </c>
      <c r="D39" s="2" t="inlineStr">
        <is>
          <t>D1、D_FREE</t>
        </is>
      </c>
      <c r="E39" s="2" t="n">
        <v>2</v>
      </c>
      <c r="F39" s="2" t="n">
        <v>2</v>
      </c>
      <c r="G39" s="3" t="n"/>
      <c r="H39" s="2">
        <f>IF(G39="","",MAX(F39-G39,0))</f>
        <v/>
      </c>
      <c r="I39" s="2" t="inlineStr">
        <is>
          <t>用户已确认SMB；厂家资料待最终复核</t>
        </is>
      </c>
      <c r="J39" s="2" t="inlineStr">
        <is>
          <t>共2只；1=K色条端、2=A。沿用原SMB焊盘；SR560为用户确认选型，原轴向目录不作为SMB厂家尺寸/电气手册；完整订货型号/额定条件/推荐焊盘待归档</t>
        </is>
      </c>
    </row>
    <row r="40" ht="58" customHeight="1">
      <c r="A40" s="2" t="inlineStr">
        <is>
          <t>二极管</t>
        </is>
      </c>
      <c r="B40" s="2" t="inlineStr">
        <is>
          <t>UF4007，快恢复</t>
        </is>
      </c>
      <c r="C40" s="2" t="inlineStr">
        <is>
          <t>DO-41，成型P10.16待核</t>
        </is>
      </c>
      <c r="D40" s="2" t="inlineStr">
        <is>
          <t>D_BOOT</t>
        </is>
      </c>
      <c r="E40" s="2" t="n">
        <v>1</v>
      </c>
      <c r="F40" s="2" t="n">
        <v>1</v>
      </c>
      <c r="G40" s="3" t="n"/>
      <c r="H40" s="2">
        <f>IF(G40="","",MAX(F40-G40,0))</f>
        <v/>
      </c>
      <c r="I40" s="2" t="inlineStr">
        <is>
          <t>成型脚距待核</t>
        </is>
      </c>
      <c r="J40" s="2" t="inlineStr">
        <is>
          <t>工程定义1=A、2=K；不是普通1N4007</t>
        </is>
      </c>
    </row>
    <row r="41" ht="58" customHeight="1">
      <c r="A41" s="2" t="inlineStr">
        <is>
          <t>二极管</t>
        </is>
      </c>
      <c r="B41" s="2" t="inlineStr">
        <is>
          <t>BAT54S，串联双肖特基</t>
        </is>
      </c>
      <c r="C41" s="2" t="inlineStr">
        <is>
          <t>SOT-23</t>
        </is>
      </c>
      <c r="D41" s="2" t="inlineStr">
        <is>
          <t>D_ADC1、D_ADC2、D_ADC3、D_ADC4、D_ADC5、D_ADC6</t>
        </is>
      </c>
      <c r="E41" s="2" t="n">
        <v>6</v>
      </c>
      <c r="F41" s="2" t="n">
        <v>6</v>
      </c>
      <c r="G41" s="3" t="n"/>
      <c r="H41" s="2">
        <f>IF(G41="","",MAX(F41-G41,0))</f>
        <v/>
      </c>
      <c r="I41" s="2" t="inlineStr">
        <is>
          <t>核对已购物料</t>
        </is>
      </c>
      <c r="J41" s="2" t="inlineStr">
        <is>
          <t>共6只；1=A1、2=K2、3=K1/A2；不能装BAT54/BAT54C</t>
        </is>
      </c>
    </row>
    <row r="42" ht="58" customHeight="1">
      <c r="A42" s="2" t="inlineStr">
        <is>
          <t>二极管</t>
        </is>
      </c>
      <c r="B42" s="2" t="inlineStr">
        <is>
          <t>BAT54，单肖特基</t>
        </is>
      </c>
      <c r="C42" s="2" t="inlineStr">
        <is>
          <t>SOT-23</t>
        </is>
      </c>
      <c r="D42" s="2" t="inlineStr">
        <is>
          <t>D_POR</t>
        </is>
      </c>
      <c r="E42" s="2" t="n">
        <v>1</v>
      </c>
      <c r="F42" s="2" t="n">
        <v>1</v>
      </c>
      <c r="G42" s="3" t="n"/>
      <c r="H42" s="2">
        <f>IF(G42="","",MAX(F42-G42,0))</f>
        <v/>
      </c>
      <c r="I42" s="2" t="inlineStr">
        <is>
          <t>核对已购物料</t>
        </is>
      </c>
      <c r="J42" s="2" t="inlineStr">
        <is>
          <t>1=A、3=K、2=NC；不能与BAT54S混装</t>
        </is>
      </c>
    </row>
    <row r="43" ht="58" customHeight="1">
      <c r="A43" s="2" t="inlineStr">
        <is>
          <t>保险</t>
        </is>
      </c>
      <c r="B43" s="2" t="inlineStr">
        <is>
          <t>2A快断保险管，5×20mm，商品标250V</t>
        </is>
      </c>
      <c r="C43" s="2" t="inlineStr">
        <is>
          <t>配5×20mm管夹</t>
        </is>
      </c>
      <c r="D43" s="2" t="inlineStr">
        <is>
          <t>F1</t>
        </is>
      </c>
      <c r="E43" s="2" t="n">
        <v>1</v>
      </c>
      <c r="F43" s="2" t="n">
        <v>1</v>
      </c>
      <c r="G43" s="3" t="n"/>
      <c r="H43" s="2">
        <f>IF(G43="","",MAX(F43-G43,0))</f>
        <v/>
      </c>
      <c r="I43" s="2" t="inlineStr">
        <is>
          <t>尺寸/快断已给资料；实际电气性能待核</t>
        </is>
      </c>
      <c r="J43" s="2" t="inlineStr">
        <is>
          <t>商品BXG16519；250V未注明AC/DC分断条件，启动不误熔断与故障分断待验证；管夹另列2只</t>
        </is>
      </c>
    </row>
    <row r="44" ht="58" customHeight="1">
      <c r="A44" s="2" t="inlineStr">
        <is>
          <t>连接器</t>
        </is>
      </c>
      <c r="B44" s="2" t="inlineStr">
        <is>
          <t>2P接线端子，P2.54，≥3A</t>
        </is>
      </c>
      <c r="C44" s="2" t="inlineStr">
        <is>
          <t>图示5.48×6.30×8.80mm；孔1.30</t>
        </is>
      </c>
      <c r="D44" s="2" t="inlineStr">
        <is>
          <t>J1、J2、J_BYP、J_MON</t>
        </is>
      </c>
      <c r="E44" s="2" t="n">
        <v>4</v>
      </c>
      <c r="F44" s="2" t="n">
        <v>4</v>
      </c>
      <c r="G44" s="3" t="n"/>
      <c r="H44" s="2">
        <f>IF(G44="","",MAX(F44-G44,0))</f>
        <v/>
      </c>
      <c r="I44" s="2" t="inlineStr">
        <is>
          <t>完整型号/朝向待核</t>
        </is>
      </c>
      <c r="J44" s="2" t="inlineStr">
        <is>
          <t>共4只；照片标称6A/150V；J_BYP是接口，不包含外接开关</t>
        </is>
      </c>
    </row>
    <row r="45" ht="58" customHeight="1">
      <c r="A45" s="2" t="inlineStr">
        <is>
          <t>连接器</t>
        </is>
      </c>
      <c r="B45" s="2" t="inlineStr">
        <is>
          <t>1×4直排针，P2.54</t>
        </is>
      </c>
      <c r="C45" s="2" t="inlineStr">
        <is>
          <t>直插，针长/塑高待核</t>
        </is>
      </c>
      <c r="D45" s="2" t="inlineStr">
        <is>
          <t>J_AUX12、J_AUX5</t>
        </is>
      </c>
      <c r="E45" s="2" t="n">
        <v>2</v>
      </c>
      <c r="F45" s="2" t="n">
        <v>2</v>
      </c>
      <c r="G45" s="3" t="n"/>
      <c r="H45" s="2">
        <f>IF(G45="","",MAX(F45-G45,0))</f>
        <v/>
      </c>
      <c r="I45" s="2" t="inlineStr">
        <is>
          <t>配对件待核</t>
        </is>
      </c>
      <c r="J45" s="2" t="inlineStr">
        <is>
          <t>共2只；与LM2596HV通过排线相接，不直接按四角焊盘插装</t>
        </is>
      </c>
    </row>
    <row r="46" ht="58" customHeight="1">
      <c r="A46" s="2" t="inlineStr">
        <is>
          <t>连接器</t>
        </is>
      </c>
      <c r="B46" s="2" t="inlineStr">
        <is>
          <t>2×8排针，P2.54</t>
        </is>
      </c>
      <c r="C46" s="2" t="inlineStr">
        <is>
          <t>直插；配对高度待核</t>
        </is>
      </c>
      <c r="D46" s="2" t="inlineStr">
        <is>
          <t>J_CTL</t>
        </is>
      </c>
      <c r="E46" s="2" t="n">
        <v>1</v>
      </c>
      <c r="F46" s="2" t="n">
        <v>1</v>
      </c>
      <c r="G46" s="3" t="n"/>
      <c r="H46" s="2">
        <f>IF(G46="","",MAX(F46-G46,0))</f>
        <v/>
      </c>
      <c r="I46" s="2" t="inlineStr">
        <is>
          <t>配对件待核</t>
        </is>
      </c>
      <c r="J46" s="2" t="inlineStr">
        <is>
          <t>1只，16针；PA6监测走独立J_MON，不占此16针</t>
        </is>
      </c>
    </row>
    <row r="47" ht="58" customHeight="1">
      <c r="A47" s="2" t="inlineStr">
        <is>
          <t>测试点</t>
        </is>
      </c>
      <c r="B47" s="2" t="inlineStr">
        <is>
          <t>裸铜测试焊盘，直径1.5mm</t>
        </is>
      </c>
      <c r="C47" s="2" t="inlineStr">
        <is>
          <t>PCB焊盘；默认不买测试柱</t>
        </is>
      </c>
      <c r="D47" s="2" t="inlineStr">
        <is>
          <t>TP1、TP2、TP3、TP4、TP5、TP6、TP7、TP8、TP9、TP10、TP11、TP12、TP13、TP14</t>
        </is>
      </c>
      <c r="E47" s="2" t="n">
        <v>14</v>
      </c>
      <c r="F47" s="2" t="n">
        <v>0</v>
      </c>
      <c r="G47" s="3" t="n"/>
      <c r="H47" s="2">
        <f>IF(G47="","",MAX(F47-G47,0))</f>
        <v/>
      </c>
      <c r="I47" s="2" t="inlineStr">
        <is>
          <t>默认无需采购</t>
        </is>
      </c>
      <c r="J47" s="2" t="inlineStr">
        <is>
          <t>14个设计测试点，实物采购数量为0；若改测试柱需同步封装</t>
        </is>
      </c>
    </row>
  </sheetData>
  <autoFilter ref="A1:J47"/>
  <dataValidations count="1">
    <dataValidation sqref="G2:G47" showDropDown="0" showInputMessage="0" showErrorMessage="1" allowBlank="1" errorTitle="请输入非负整数" error="库存数量应为0或正整数" type="whole" operator="greaterThanOrEqual">
      <formula1>0</formula1>
    </dataValidation>
  </dataValidations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21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  <col width="50" customWidth="1" min="4" max="4"/>
    <col width="40" customWidth="1" min="5" max="5"/>
    <col width="12" customWidth="1" min="6" max="6"/>
    <col width="16" customWidth="1" min="7" max="7"/>
    <col width="25" customWidth="1" min="8" max="8"/>
    <col width="90" customWidth="1" min="9" max="9"/>
    <col width="90" customWidth="1" min="10" max="10"/>
  </cols>
  <sheetData>
    <row r="1" ht="30" customHeight="1">
      <c r="A1" s="1" t="inlineStr">
        <is>
          <t>位号</t>
        </is>
      </c>
      <c r="B1" s="1" t="inlineStr">
        <is>
          <t>当前工程原始数值/型号</t>
        </is>
      </c>
      <c r="C1" s="1" t="inlineStr">
        <is>
          <t>当前PCB封装</t>
        </is>
      </c>
      <c r="D1" s="1" t="inlineStr">
        <is>
          <t>采购规格/建议</t>
        </is>
      </c>
      <c r="E1" s="1" t="inlineStr">
        <is>
          <t>采购封装说明</t>
        </is>
      </c>
      <c r="F1" s="1" t="inlineStr">
        <is>
          <t>设计数量</t>
        </is>
      </c>
      <c r="G1" s="1" t="inlineStr">
        <is>
          <t>默认装配数量</t>
        </is>
      </c>
      <c r="H1" s="1" t="inlineStr">
        <is>
          <t>资料状态</t>
        </is>
      </c>
      <c r="I1" s="1" t="inlineStr">
        <is>
          <t>采购说明</t>
        </is>
      </c>
      <c r="J1" s="1" t="inlineStr">
        <is>
          <t>原PCB_BOM备注</t>
        </is>
      </c>
    </row>
    <row r="2" ht="58" customHeight="1">
      <c r="A2" s="2" t="inlineStr">
        <is>
          <t>U1</t>
        </is>
      </c>
      <c r="B2" s="2" t="inlineStr">
        <is>
          <t>IR2184PbF</t>
        </is>
      </c>
      <c r="C2" s="2" t="inlineStr">
        <is>
          <t>DIP8_300</t>
        </is>
      </c>
      <c r="D2" s="2" t="inlineStr">
        <is>
          <t>IR2184PbF</t>
        </is>
      </c>
      <c r="E2" s="2" t="inlineStr">
        <is>
          <t>DIP-8，300mil</t>
        </is>
      </c>
      <c r="F2" s="2" t="n">
        <v>1</v>
      </c>
      <c r="G2" s="2" t="n">
        <v>1</v>
      </c>
      <c r="H2" s="2" t="inlineStr">
        <is>
          <t>用户已确认IR2184直插</t>
        </is>
      </c>
      <c r="I2" s="2" t="inlineStr">
        <is>
          <t>与既有DIP8_300一致；保留设计PbF标注，不把家族确认当成完整订货号/厂家确认；库存数量另填；IR2104不可代装</t>
        </is>
      </c>
      <c r="J2" s="2" t="inlineStr">
        <is>
          <t>Rev C.2指定IR2184PbF/DIP8；已购表IR2104不可直接代装；1IN 2SD# 3COM 4LO 5VCC 6VS 7HO 8VB</t>
        </is>
      </c>
    </row>
    <row r="3" ht="58" customHeight="1">
      <c r="A3" s="2" t="inlineStr">
        <is>
          <t>U2</t>
        </is>
      </c>
      <c r="B3" s="2" t="inlineStr">
        <is>
          <t>INA240A1D</t>
        </is>
      </c>
      <c r="C3" s="2" t="inlineStr">
        <is>
          <t>SOIC8_150</t>
        </is>
      </c>
      <c r="D3" s="2" t="inlineStr">
        <is>
          <t>INA240A1D，增益20</t>
        </is>
      </c>
      <c r="E3" s="2" t="inlineStr">
        <is>
          <t>SOIC-8</t>
        </is>
      </c>
      <c r="F3" s="2" t="n">
        <v>1</v>
      </c>
      <c r="G3" s="2" t="n">
        <v>1</v>
      </c>
      <c r="H3" s="2" t="inlineStr">
        <is>
          <t>型号/实物核对</t>
        </is>
      </c>
      <c r="I3" s="2" t="inlineStr">
        <is>
          <t>必须A1D；不要买成PW/TSSOP或其他增益</t>
        </is>
      </c>
      <c r="J3" s="2" t="inlineStr">
        <is>
          <t>SOIC-8脚序；4=NC；不得套用TSSOP脚序</t>
        </is>
      </c>
    </row>
    <row r="4" ht="58" customHeight="1">
      <c r="A4" s="2" t="inlineStr">
        <is>
          <t>U4</t>
        </is>
      </c>
      <c r="B4" s="2" t="inlineStr">
        <is>
          <t>INA240A1D</t>
        </is>
      </c>
      <c r="C4" s="2" t="inlineStr">
        <is>
          <t>SOIC8_150</t>
        </is>
      </c>
      <c r="D4" s="2" t="inlineStr">
        <is>
          <t>INA240A1D，增益20</t>
        </is>
      </c>
      <c r="E4" s="2" t="inlineStr">
        <is>
          <t>SOIC-8</t>
        </is>
      </c>
      <c r="F4" s="2" t="n">
        <v>1</v>
      </c>
      <c r="G4" s="2" t="n">
        <v>1</v>
      </c>
      <c r="H4" s="2" t="inlineStr">
        <is>
          <t>型号/实物核对</t>
        </is>
      </c>
      <c r="I4" s="2" t="inlineStr">
        <is>
          <t>必须A1D；不要买成PW/TSSOP或其他增益</t>
        </is>
      </c>
      <c r="J4" s="2" t="inlineStr">
        <is>
          <t>SOIC-8脚序；4=NC；不得套用TSSOP脚序</t>
        </is>
      </c>
    </row>
    <row r="5" ht="58" customHeight="1">
      <c r="A5" s="2" t="inlineStr">
        <is>
          <t>U3</t>
        </is>
      </c>
      <c r="B5" s="2" t="inlineStr">
        <is>
          <t>INA181A1DBV</t>
        </is>
      </c>
      <c r="C5" s="2" t="inlineStr">
        <is>
          <t>SOT23_6</t>
        </is>
      </c>
      <c r="D5" s="2" t="inlineStr">
        <is>
          <t>INA181A1DBV，增益20</t>
        </is>
      </c>
      <c r="E5" s="2" t="inlineStr">
        <is>
          <t>SOT-23-6</t>
        </is>
      </c>
      <c r="F5" s="2" t="n">
        <v>1</v>
      </c>
      <c r="G5" s="2" t="n">
        <v>1</v>
      </c>
      <c r="H5" s="2" t="inlineStr">
        <is>
          <t>核对已购物料</t>
        </is>
      </c>
      <c r="I5" s="2" t="inlineStr">
        <is>
          <t>必须A1、DBV封装</t>
        </is>
      </c>
      <c r="J5" s="2" t="inlineStr"/>
    </row>
    <row r="6" ht="58" customHeight="1">
      <c r="A6" s="2" t="inlineStr">
        <is>
          <t>U5</t>
        </is>
      </c>
      <c r="B6" s="2" t="inlineStr">
        <is>
          <t>LM393</t>
        </is>
      </c>
      <c r="C6" s="2" t="inlineStr">
        <is>
          <t>SOIC8_150</t>
        </is>
      </c>
      <c r="D6" s="2" t="inlineStr">
        <is>
          <t>LM393DR（原图标LM393）</t>
        </is>
      </c>
      <c r="E6" s="2" t="inlineStr">
        <is>
          <t>SOIC-8</t>
        </is>
      </c>
      <c r="F6" s="2" t="n">
        <v>1</v>
      </c>
      <c r="G6" s="2" t="n">
        <v>1</v>
      </c>
      <c r="H6" s="2" t="inlineStr">
        <is>
          <t>核对已购物料</t>
        </is>
      </c>
      <c r="I6" s="2" t="inlineStr">
        <is>
          <t>DR为参数表中的完整采购型号，开集电极输出</t>
        </is>
      </c>
      <c r="J6" s="2" t="inlineStr">
        <is>
          <t>具体订货后缀待确认；输出开集电极并联，上拉至3.3V</t>
        </is>
      </c>
    </row>
    <row r="7" ht="58" customHeight="1">
      <c r="A7" s="2" t="inlineStr">
        <is>
          <t>U9</t>
        </is>
      </c>
      <c r="B7" s="2" t="inlineStr">
        <is>
          <t>LM393</t>
        </is>
      </c>
      <c r="C7" s="2" t="inlineStr">
        <is>
          <t>SOIC8_150</t>
        </is>
      </c>
      <c r="D7" s="2" t="inlineStr">
        <is>
          <t>LM393DR（原图标LM393）</t>
        </is>
      </c>
      <c r="E7" s="2" t="inlineStr">
        <is>
          <t>SOIC-8</t>
        </is>
      </c>
      <c r="F7" s="2" t="n">
        <v>1</v>
      </c>
      <c r="G7" s="2" t="n">
        <v>1</v>
      </c>
      <c r="H7" s="2" t="inlineStr">
        <is>
          <t>核对已购物料</t>
        </is>
      </c>
      <c r="I7" s="2" t="inlineStr">
        <is>
          <t>DR为参数表中的完整采购型号，开集电极输出</t>
        </is>
      </c>
      <c r="J7" s="2" t="inlineStr">
        <is>
          <t>具体订货后缀待确认；输出开集电极并联，上拉至3.3V</t>
        </is>
      </c>
    </row>
    <row r="8" ht="58" customHeight="1">
      <c r="A8" s="2" t="inlineStr">
        <is>
          <t>U6</t>
        </is>
      </c>
      <c r="B8" s="2" t="inlineStr">
        <is>
          <t>SN74HC74DR</t>
        </is>
      </c>
      <c r="C8" s="2" t="inlineStr">
        <is>
          <t>SOIC14_150</t>
        </is>
      </c>
      <c r="D8" s="2" t="inlineStr">
        <is>
          <t>SN74HC74DR</t>
        </is>
      </c>
      <c r="E8" s="2" t="inlineStr">
        <is>
          <t>SOIC-14</t>
        </is>
      </c>
      <c r="F8" s="2" t="n">
        <v>1</v>
      </c>
      <c r="G8" s="2" t="n">
        <v>1</v>
      </c>
      <c r="H8" s="2" t="inlineStr">
        <is>
          <t>核对已购物料</t>
        </is>
      </c>
      <c r="I8" s="2" t="inlineStr">
        <is>
          <t>不能与74HC08/74HC14混装</t>
        </is>
      </c>
      <c r="J8" s="2" t="inlineStr"/>
    </row>
    <row r="9" ht="58" customHeight="1">
      <c r="A9" s="2" t="inlineStr">
        <is>
          <t>U7</t>
        </is>
      </c>
      <c r="B9" s="2" t="inlineStr">
        <is>
          <t>SN74HC08DR</t>
        </is>
      </c>
      <c r="C9" s="2" t="inlineStr">
        <is>
          <t>SOIC14_150</t>
        </is>
      </c>
      <c r="D9" s="2" t="inlineStr">
        <is>
          <t>SN74HC08DR</t>
        </is>
      </c>
      <c r="E9" s="2" t="inlineStr">
        <is>
          <t>SOIC-14</t>
        </is>
      </c>
      <c r="F9" s="2" t="n">
        <v>1</v>
      </c>
      <c r="G9" s="2" t="n">
        <v>1</v>
      </c>
      <c r="H9" s="2" t="inlineStr">
        <is>
          <t>核对已购物料</t>
        </is>
      </c>
      <c r="I9" s="2" t="inlineStr">
        <is>
          <t>与源图逻辑门型号一致</t>
        </is>
      </c>
      <c r="J9" s="2" t="inlineStr"/>
    </row>
    <row r="10" ht="58" customHeight="1">
      <c r="A10" s="2" t="inlineStr">
        <is>
          <t>U8</t>
        </is>
      </c>
      <c r="B10" s="2" t="inlineStr">
        <is>
          <t>SN74HC14DR</t>
        </is>
      </c>
      <c r="C10" s="2" t="inlineStr">
        <is>
          <t>SOIC14_150</t>
        </is>
      </c>
      <c r="D10" s="2" t="inlineStr">
        <is>
          <t>SN74HC14DR</t>
        </is>
      </c>
      <c r="E10" s="2" t="inlineStr">
        <is>
          <t>SOIC-14</t>
        </is>
      </c>
      <c r="F10" s="2" t="n">
        <v>1</v>
      </c>
      <c r="G10" s="2" t="n">
        <v>1</v>
      </c>
      <c r="H10" s="2" t="inlineStr">
        <is>
          <t>核对已购物料</t>
        </is>
      </c>
      <c r="I10" s="2" t="inlineStr">
        <is>
          <t>施密特反相器</t>
        </is>
      </c>
      <c r="J10" s="2" t="inlineStr"/>
    </row>
    <row r="11" ht="58" customHeight="1">
      <c r="A11" s="2" t="inlineStr">
        <is>
          <t>QH</t>
        </is>
      </c>
      <c r="B11" s="2" t="inlineStr">
        <is>
          <t>IRF540N</t>
        </is>
      </c>
      <c r="C11" s="2" t="inlineStr">
        <is>
          <t>TO220_3</t>
        </is>
      </c>
      <c r="D11" s="2" t="inlineStr">
        <is>
          <t>IRF540NPbF（IRF540N），N沟道100V</t>
        </is>
      </c>
      <c r="E11" s="2" t="inlineStr">
        <is>
          <t>TO-220-3，直立</t>
        </is>
      </c>
      <c r="F11" s="2" t="n">
        <v>1</v>
      </c>
      <c r="G11" s="2" t="n">
        <v>1</v>
      </c>
      <c r="H11" s="2" t="inlineStr">
        <is>
          <t>核对已购物料</t>
        </is>
      </c>
      <c r="I11" s="2" t="inlineStr">
        <is>
          <t>1G、2D、3S；背板是漏极；散热按实测确定</t>
        </is>
      </c>
      <c r="J11" s="2" t="inlineStr">
        <is>
          <t>直立TO220，1G2D3S；金属背板=D；按无散热片实购，热设计待验证</t>
        </is>
      </c>
    </row>
    <row r="12" ht="58" customHeight="1">
      <c r="A12" s="2" t="inlineStr">
        <is>
          <t>QL</t>
        </is>
      </c>
      <c r="B12" s="2" t="inlineStr">
        <is>
          <t>IRF540N</t>
        </is>
      </c>
      <c r="C12" s="2" t="inlineStr">
        <is>
          <t>TO220_3</t>
        </is>
      </c>
      <c r="D12" s="2" t="inlineStr">
        <is>
          <t>IRF540NPbF（IRF540N），N沟道100V</t>
        </is>
      </c>
      <c r="E12" s="2" t="inlineStr">
        <is>
          <t>TO-220-3，直立</t>
        </is>
      </c>
      <c r="F12" s="2" t="n">
        <v>1</v>
      </c>
      <c r="G12" s="2" t="n">
        <v>1</v>
      </c>
      <c r="H12" s="2" t="inlineStr">
        <is>
          <t>核对已购物料</t>
        </is>
      </c>
      <c r="I12" s="2" t="inlineStr">
        <is>
          <t>1G、2D、3S；背板是漏极；散热按实测确定</t>
        </is>
      </c>
      <c r="J12" s="2" t="inlineStr">
        <is>
          <t>直立TO220，1G2D3S；金属背板=D；按无散热片实购，热设计待验证</t>
        </is>
      </c>
    </row>
    <row r="13" ht="58" customHeight="1">
      <c r="A13" s="2" t="inlineStr">
        <is>
          <t>L1</t>
        </is>
      </c>
      <c r="B13" s="2" t="inlineStr">
        <is>
          <t>220uH / Isat&gt;=3A</t>
        </is>
      </c>
      <c r="C13" s="2" t="inlineStr">
        <is>
          <t>L65125_VERTICAL_P10</t>
        </is>
      </c>
      <c r="D13" s="2" t="inlineStr">
        <is>
          <t>220μH±10%；Isat≥3A、Irms≥1.5A、DCR≤0.15Ω</t>
        </is>
      </c>
      <c r="E13" s="2" t="inlineStr">
        <is>
          <t>65125立式；20×10mm投影；P10</t>
        </is>
      </c>
      <c r="F13" s="2" t="n">
        <v>1</v>
      </c>
      <c r="G13" s="2" t="n">
        <v>1</v>
      </c>
      <c r="H13" s="2" t="inlineStr">
        <is>
          <t>用户已确认立式；电气额定待核</t>
        </is>
      </c>
      <c r="I13" s="2" t="inlineStr">
        <is>
          <t>沿用当前立式布局；图示6A Max不是Isat证明</t>
        </is>
      </c>
      <c r="J13" s="2" t="inlineStr">
        <is>
          <t>用户已确认立式；65125 220μH±10%；DCR≤55mΩ；卖家6A Max≠Isat；20×10投影、P10、线径0.75；孔1.1为设计值</t>
        </is>
      </c>
    </row>
    <row r="14" ht="58" customHeight="1">
      <c r="A14" s="2" t="inlineStr">
        <is>
          <t>RS_IN</t>
        </is>
      </c>
      <c r="B14" s="2" t="inlineStr">
        <is>
          <t>50mΩ / 1% / &gt;=1W</t>
        </is>
      </c>
      <c r="C14" s="2" t="inlineStr">
        <is>
          <t>SHUNT_M_50m_P10_D0p8</t>
        </is>
      </c>
      <c r="D14" s="2" t="inlineStr">
        <is>
          <t>50mΩ，1%，≥1W（精度/功率仍待核）</t>
        </is>
      </c>
      <c r="E14" s="2" t="inlineStr">
        <is>
          <t>M型康铜丝直插；图示P10、线径0.8、体高12mm</t>
        </is>
      </c>
      <c r="F14" s="2" t="n">
        <v>1</v>
      </c>
      <c r="G14" s="2" t="n">
        <v>1</v>
      </c>
      <c r="H14" s="2" t="inlineStr">
        <is>
          <t>脚距/线径已获商品图支持</t>
        </is>
      </c>
      <c r="I14" s="2" t="inlineStr">
        <is>
          <t>达科峰图标50mΩ/5A；已有备料可抵扣；连续功率、精度及平面厚度待核；独立Kelvin取样</t>
        </is>
      </c>
      <c r="J14" s="2" t="inlineStr">
        <is>
          <t>用户商品图确认：达科峰M型康铜丝50mΩ、P10、线径0.8、图示体高12、额定5A；孔1.1/焊盘2.6为设计值；平面12×4包络仍为预留；1%精度和连续≥1W待核；Kelvin取样</t>
        </is>
      </c>
    </row>
    <row r="15" ht="58" customHeight="1">
      <c r="A15" s="2" t="inlineStr">
        <is>
          <t>RS_OUT</t>
        </is>
      </c>
      <c r="B15" s="2" t="inlineStr">
        <is>
          <t>50mΩ / 1% / &gt;=1W</t>
        </is>
      </c>
      <c r="C15" s="2" t="inlineStr">
        <is>
          <t>SHUNT_M_50m_P10_D0p8</t>
        </is>
      </c>
      <c r="D15" s="2" t="inlineStr">
        <is>
          <t>50mΩ，1%，≥1W（精度/功率仍待核）</t>
        </is>
      </c>
      <c r="E15" s="2" t="inlineStr">
        <is>
          <t>M型康铜丝直插；图示P10、线径0.8、体高12mm</t>
        </is>
      </c>
      <c r="F15" s="2" t="n">
        <v>1</v>
      </c>
      <c r="G15" s="2" t="n">
        <v>1</v>
      </c>
      <c r="H15" s="2" t="inlineStr">
        <is>
          <t>脚距/线径已获商品图支持</t>
        </is>
      </c>
      <c r="I15" s="2" t="inlineStr">
        <is>
          <t>达科峰图标50mΩ/5A；已有备料可抵扣；连续功率、精度及平面厚度待核；独立Kelvin取样</t>
        </is>
      </c>
      <c r="J15" s="2" t="inlineStr">
        <is>
          <t>用户商品图确认：达科峰M型康铜丝50mΩ、P10、线径0.8、图示体高12、额定5A；孔1.1/焊盘2.6为设计值；平面12×4包络仍为预留；1%精度和连续≥1W待核；Kelvin取样</t>
        </is>
      </c>
    </row>
    <row r="16" ht="58" customHeight="1">
      <c r="A16" s="2" t="inlineStr">
        <is>
          <t>RS_L</t>
        </is>
      </c>
      <c r="B16" s="2" t="inlineStr">
        <is>
          <t>25mΩ / 1% / &gt;=1W</t>
        </is>
      </c>
      <c r="C16" s="2" t="inlineStr">
        <is>
          <t>SHUNT_U_25m_P5_D0p7</t>
        </is>
      </c>
      <c r="D16" s="2" t="inlineStr">
        <is>
          <t>25mΩ，1%，≥1W（精度/功率仍待核）</t>
        </is>
      </c>
      <c r="E16" s="2" t="inlineStr">
        <is>
          <t>U型直插；图示P5、线径0.7、体高7mm</t>
        </is>
      </c>
      <c r="F16" s="2" t="n">
        <v>1</v>
      </c>
      <c r="G16" s="2" t="n">
        <v>1</v>
      </c>
      <c r="H16" s="2" t="inlineStr">
        <is>
          <t>25mΩ商品图已给尺寸；库存待核</t>
        </is>
      </c>
      <c r="I16" s="2" t="inlineStr">
        <is>
          <t>DILIN迪林商品图；P10占位改P5；图未给精度/功率及实际焊脚径/深度；B3已列，库存未知</t>
        </is>
      </c>
      <c r="J16" s="2" t="inlineStr">
        <is>
          <t>用户DILIN迪林图确认25mΩ、U型、P5、图示线径0.7、体高7；从P10占位改P5；孔1.1/焊盘2.6及12×4包络为保守设计预留；实际焊脚径、深度、1%精度与连续≥1W待核；库存未知</t>
        </is>
      </c>
    </row>
    <row r="17" ht="58" customHeight="1">
      <c r="A17" s="2" t="inlineStr">
        <is>
          <t>R_PRE</t>
        </is>
      </c>
      <c r="B17" s="2" t="inlineStr">
        <is>
          <t>22Ω / 5W / pulse≥0.3J</t>
        </is>
      </c>
      <c r="C17" s="2" t="inlineStr">
        <is>
          <t>RPRE_EXTERNAL_P5.08_TBD</t>
        </is>
      </c>
      <c r="D17" s="2" t="inlineStr">
        <is>
          <t>22Ω，5W，单次脉冲耐量≥0.3J</t>
        </is>
      </c>
      <c r="E17" s="2" t="inlineStr">
        <is>
          <t>外置；主板仅P5.08引出焊盘</t>
        </is>
      </c>
      <c r="F17" s="2" t="n">
        <v>1</v>
      </c>
      <c r="G17" s="2" t="n">
        <v>1</v>
      </c>
      <c r="H17" s="2" t="inlineStr">
        <is>
          <t>待选完整型号</t>
        </is>
      </c>
      <c r="I17" s="2" t="inlineStr">
        <is>
          <t>器件实体外置固定；不按引出焊盘外形购买电阻</t>
        </is>
      </c>
      <c r="J17" s="2" t="inlineStr">
        <is>
          <t>外置22Ω/5W脉冲≥0.3J电阻，板上仅两引出焊盘；不得将电阻实体塞进引出焊盘投影</t>
        </is>
      </c>
    </row>
    <row r="18" ht="58" customHeight="1">
      <c r="A18" s="2" t="inlineStr">
        <is>
          <t>C1</t>
        </is>
      </c>
      <c r="B18" s="2" t="inlineStr">
        <is>
          <t>470uF / 50V</t>
        </is>
      </c>
      <c r="C18" s="2" t="inlineStr">
        <is>
          <t>CP_D10_P5</t>
        </is>
      </c>
      <c r="D18" s="2" t="inlineStr">
        <is>
          <t>470μF/50V，低ESR，105℃</t>
        </is>
      </c>
      <c r="E18" s="2" t="inlineStr">
        <is>
          <t>径向直插D10×H18mm，P5</t>
        </is>
      </c>
      <c r="F18" s="2" t="n">
        <v>1</v>
      </c>
      <c r="G18" s="2" t="n">
        <v>1</v>
      </c>
      <c r="H18" s="2" t="inlineStr">
        <is>
          <t>完整料号/纹波待核</t>
        </is>
      </c>
      <c r="I18" s="2" t="inlineStr">
        <is>
          <t>脚径0.6mm；板上预留Dmax10.5；ESR/纹波条件待核</t>
        </is>
      </c>
      <c r="J18" s="2" t="inlineStr">
        <is>
          <t>470μF/50V；实物D10×H18、P5、脚径0.6；按Dmax10.5留空间；ESR/纹波及完整型号待核</t>
        </is>
      </c>
    </row>
    <row r="19" ht="58" customHeight="1">
      <c r="A19" s="2" t="inlineStr">
        <is>
          <t>C3</t>
        </is>
      </c>
      <c r="B19" s="2" t="inlineStr">
        <is>
          <t>470uF / 35V</t>
        </is>
      </c>
      <c r="C19" s="2" t="inlineStr">
        <is>
          <t>CP_D10_P5</t>
        </is>
      </c>
      <c r="D19" s="2" t="inlineStr">
        <is>
          <t>470μF/35V，低ESR，105℃</t>
        </is>
      </c>
      <c r="E19" s="2" t="inlineStr">
        <is>
          <t>径向直插D10×H13mm，P5</t>
        </is>
      </c>
      <c r="F19" s="2" t="n">
        <v>1</v>
      </c>
      <c r="G19" s="2" t="n">
        <v>1</v>
      </c>
      <c r="H19" s="2" t="inlineStr">
        <is>
          <t>完整料号/纹波待核</t>
        </is>
      </c>
      <c r="I19" s="2" t="inlineStr">
        <is>
          <t>核对实物耐压及极性；不要混用50V器件的高度记录</t>
        </is>
      </c>
      <c r="J19" s="2" t="inlineStr">
        <is>
          <t>470μF/35V；实物D10×H13、P5、脚径0.6；按Dmax10.5留空间；耐压及完整型号待核</t>
        </is>
      </c>
    </row>
    <row r="20" ht="58" customHeight="1">
      <c r="A20" s="2" t="inlineStr">
        <is>
          <t>C2</t>
        </is>
      </c>
      <c r="B20" s="2" t="inlineStr">
        <is>
          <t>1uF / 50V</t>
        </is>
      </c>
      <c r="C20" s="2" t="inlineStr">
        <is>
          <t>C0805</t>
        </is>
      </c>
      <c r="D20" s="2" t="inlineStr">
        <is>
          <t>1μF/50V，X7R</t>
        </is>
      </c>
      <c r="E20" s="2" t="inlineStr">
        <is>
          <t>0805</t>
        </is>
      </c>
      <c r="F20" s="2" t="n">
        <v>1</v>
      </c>
      <c r="G20" s="2" t="n">
        <v>1</v>
      </c>
      <c r="H20" s="2" t="inlineStr">
        <is>
          <t>核对已购物料</t>
        </is>
      </c>
      <c r="I20" s="2" t="inlineStr">
        <is>
          <t>本轮由旧C1206改0805；核对直流偏压后的有效容量</t>
        </is>
      </c>
      <c r="J20" s="2" t="inlineStr">
        <is>
          <t>1μF/50V X7R，0805；有效容量按实际料号的直流偏压曲线核对</t>
        </is>
      </c>
    </row>
    <row r="21" ht="58" customHeight="1">
      <c r="A21" s="2" t="inlineStr">
        <is>
          <t>C_BOOT</t>
        </is>
      </c>
      <c r="B21" s="2" t="inlineStr">
        <is>
          <t>1uF / 25V</t>
        </is>
      </c>
      <c r="C21" s="2" t="inlineStr">
        <is>
          <t>C0805</t>
        </is>
      </c>
      <c r="D21" s="2" t="inlineStr">
        <is>
          <t>1μF/≥25V，X7R</t>
        </is>
      </c>
      <c r="E21" s="2" t="inlineStr">
        <is>
          <t>0805</t>
        </is>
      </c>
      <c r="F21" s="2" t="n">
        <v>1</v>
      </c>
      <c r="G21" s="2" t="n">
        <v>1</v>
      </c>
      <c r="H21" s="2" t="inlineStr">
        <is>
          <t>核对已购物料</t>
        </is>
      </c>
      <c r="I21" s="2" t="inlineStr">
        <is>
          <t>C_A1原图仅写1μF；建议与自举/驱动统一用≥25V；不降低源图额定</t>
        </is>
      </c>
      <c r="J21" s="2" t="inlineStr">
        <is>
          <t>X7R；确认有效容量</t>
        </is>
      </c>
    </row>
    <row r="22" ht="58" customHeight="1">
      <c r="A22" s="2" t="inlineStr">
        <is>
          <t>C_A1</t>
        </is>
      </c>
      <c r="B22" s="2" t="inlineStr">
        <is>
          <t>1uF</t>
        </is>
      </c>
      <c r="C22" s="2" t="inlineStr">
        <is>
          <t>C0805</t>
        </is>
      </c>
      <c r="D22" s="2" t="inlineStr">
        <is>
          <t>1μF/≥25V，X7R</t>
        </is>
      </c>
      <c r="E22" s="2" t="inlineStr">
        <is>
          <t>0805</t>
        </is>
      </c>
      <c r="F22" s="2" t="n">
        <v>1</v>
      </c>
      <c r="G22" s="2" t="n">
        <v>1</v>
      </c>
      <c r="H22" s="2" t="inlineStr">
        <is>
          <t>核对已购物料</t>
        </is>
      </c>
      <c r="I22" s="2" t="inlineStr">
        <is>
          <t>C_A1原图仅写1μF；建议与自举/驱动统一用≥25V；不降低源图额定</t>
        </is>
      </c>
      <c r="J22" s="2" t="inlineStr"/>
    </row>
    <row r="23" ht="58" customHeight="1">
      <c r="A23" s="2" t="inlineStr">
        <is>
          <t>C_DRV</t>
        </is>
      </c>
      <c r="B23" s="2" t="inlineStr">
        <is>
          <t>1uF / 25V X7R</t>
        </is>
      </c>
      <c r="C23" s="2" t="inlineStr">
        <is>
          <t>C0805</t>
        </is>
      </c>
      <c r="D23" s="2" t="inlineStr">
        <is>
          <t>1μF/≥25V，X7R</t>
        </is>
      </c>
      <c r="E23" s="2" t="inlineStr">
        <is>
          <t>0805</t>
        </is>
      </c>
      <c r="F23" s="2" t="n">
        <v>1</v>
      </c>
      <c r="G23" s="2" t="n">
        <v>1</v>
      </c>
      <c r="H23" s="2" t="inlineStr">
        <is>
          <t>核对已购物料</t>
        </is>
      </c>
      <c r="I23" s="2" t="inlineStr">
        <is>
          <t>C_A1原图仅写1μF；建议与自举/驱动统一用≥25V；不降低源图额定</t>
        </is>
      </c>
      <c r="J23" s="2" t="inlineStr">
        <is>
          <t>新增贴近U1.VCC/COM的低ESR陶瓷</t>
        </is>
      </c>
    </row>
    <row r="24" ht="58" customHeight="1">
      <c r="A24" s="2" t="inlineStr">
        <is>
          <t>C4</t>
        </is>
      </c>
      <c r="B24" s="2" t="inlineStr">
        <is>
          <t>10uF / 50V X7R</t>
        </is>
      </c>
      <c r="C24" s="2" t="inlineStr">
        <is>
          <t>C0805</t>
        </is>
      </c>
      <c r="D24" s="2" t="inlineStr">
        <is>
          <t>10μF/50V，X7R</t>
        </is>
      </c>
      <c r="E24" s="2" t="inlineStr">
        <is>
          <t>0805</t>
        </is>
      </c>
      <c r="F24" s="2" t="n">
        <v>1</v>
      </c>
      <c r="G24" s="2" t="n">
        <v>1</v>
      </c>
      <c r="H24" s="2" t="inlineStr">
        <is>
          <t>偏压后容量待核</t>
        </is>
      </c>
      <c r="I24" s="2" t="inlineStr">
        <is>
          <t>PCB复核版由35V提高到实购50V；必须核对有效容量</t>
        </is>
      </c>
      <c r="J24" s="2" t="inlineStr">
        <is>
          <t>10μF/50V X7R，0805；由35V提高至实购50V；直流偏压后有效容量待核</t>
        </is>
      </c>
    </row>
    <row r="25" ht="58" customHeight="1">
      <c r="A25" s="2" t="inlineStr">
        <is>
          <t>C6</t>
        </is>
      </c>
      <c r="B25" s="2" t="inlineStr">
        <is>
          <t>10uF / 25V</t>
        </is>
      </c>
      <c r="C25" s="2" t="inlineStr">
        <is>
          <t>C0805</t>
        </is>
      </c>
      <c r="D25" s="2" t="inlineStr">
        <is>
          <t>10μF/25V，建议X7R</t>
        </is>
      </c>
      <c r="E25" s="2" t="inlineStr">
        <is>
          <t>0805</t>
        </is>
      </c>
      <c r="F25" s="2" t="n">
        <v>1</v>
      </c>
      <c r="G25" s="2" t="n">
        <v>1</v>
      </c>
      <c r="H25" s="2" t="inlineStr">
        <is>
          <t>两只0805已确认；完整料号/介质待核</t>
        </is>
      </c>
      <c r="I25" s="2" t="inlineStr">
        <is>
          <t>共2只；C6来自原参数表，C_A3本轮由用户明确0805并替换原1206占位；实际介质与偏压后容量待核，库存另填</t>
        </is>
      </c>
      <c r="J25" s="2" t="inlineStr">
        <is>
          <t>10μF/25V，按实购2×1.25贴片改0805；完整料号/偏压待核</t>
        </is>
      </c>
    </row>
    <row r="26" ht="58" customHeight="1">
      <c r="A26" s="2" t="inlineStr">
        <is>
          <t>C_A3</t>
        </is>
      </c>
      <c r="B26" s="2" t="inlineStr">
        <is>
          <t>10uF / 25V</t>
        </is>
      </c>
      <c r="C26" s="2" t="inlineStr">
        <is>
          <t>C0805</t>
        </is>
      </c>
      <c r="D26" s="2" t="inlineStr">
        <is>
          <t>10μF/25V，建议X7R</t>
        </is>
      </c>
      <c r="E26" s="2" t="inlineStr">
        <is>
          <t>0805</t>
        </is>
      </c>
      <c r="F26" s="2" t="n">
        <v>1</v>
      </c>
      <c r="G26" s="2" t="n">
        <v>1</v>
      </c>
      <c r="H26" s="2" t="inlineStr">
        <is>
          <t>两只0805已确认；完整料号/介质待核</t>
        </is>
      </c>
      <c r="I26" s="2" t="inlineStr">
        <is>
          <t>共2只；C6来自原参数表，C_A3本轮由用户明确0805并替换原1206占位；实际介质与偏压后容量待核，库存另填</t>
        </is>
      </c>
      <c r="J26" s="2" t="inlineStr">
        <is>
          <t>用户明确0805；10μF/25V保持，原1206暂定封装改C0805；中心(92,25)mm/90°保持，焊盘缩小并各向中心移动0.5mm；实际介质/完整料号及偏压容量待归档</t>
        </is>
      </c>
    </row>
    <row r="27" ht="58" customHeight="1">
      <c r="A27" s="2" t="inlineStr">
        <is>
          <t>C5</t>
        </is>
      </c>
      <c r="B27" s="2" t="inlineStr">
        <is>
          <t>100nF</t>
        </is>
      </c>
      <c r="C27" s="2" t="inlineStr">
        <is>
          <t>C0805</t>
        </is>
      </c>
      <c r="D27" s="2" t="inlineStr">
        <is>
          <t>100nF/50V，X7R</t>
        </is>
      </c>
      <c r="E27" s="2" t="inlineStr">
        <is>
          <t>0805</t>
        </is>
      </c>
      <c r="F27" s="2" t="n">
        <v>1</v>
      </c>
      <c r="G27" s="2" t="n">
        <v>1</v>
      </c>
      <c r="H27" s="2" t="inlineStr">
        <is>
          <t>100nF/50V/0805/X7R，已购50只</t>
        </is>
      </c>
      <c r="I27" s="2" t="inlineStr">
        <is>
          <t>用户对数量回复50；按单板用16只，补购0只，装一板后余34只。完整料号/容差未提供；472批次独立记4.7nF，不混计库存</t>
        </is>
      </c>
      <c r="J27" s="2" t="inlineStr"/>
    </row>
    <row r="28" ht="58" customHeight="1">
      <c r="A28" s="2" t="inlineStr">
        <is>
          <t>C_U2</t>
        </is>
      </c>
      <c r="B28" s="2" t="inlineStr">
        <is>
          <t>100nF</t>
        </is>
      </c>
      <c r="C28" s="2" t="inlineStr">
        <is>
          <t>C0805</t>
        </is>
      </c>
      <c r="D28" s="2" t="inlineStr">
        <is>
          <t>100nF/50V，X7R</t>
        </is>
      </c>
      <c r="E28" s="2" t="inlineStr">
        <is>
          <t>0805</t>
        </is>
      </c>
      <c r="F28" s="2" t="n">
        <v>1</v>
      </c>
      <c r="G28" s="2" t="n">
        <v>1</v>
      </c>
      <c r="H28" s="2" t="inlineStr">
        <is>
          <t>100nF/50V/0805/X7R，已购50只</t>
        </is>
      </c>
      <c r="I28" s="2" t="inlineStr">
        <is>
          <t>用户对数量回复50；按单板用16只，补购0只，装一板后余34只。完整料号/容差未提供；472批次独立记4.7nF，不混计库存</t>
        </is>
      </c>
      <c r="J28" s="2" t="inlineStr"/>
    </row>
    <row r="29" ht="58" customHeight="1">
      <c r="A29" s="2" t="inlineStr">
        <is>
          <t>C_U3</t>
        </is>
      </c>
      <c r="B29" s="2" t="inlineStr">
        <is>
          <t>100nF</t>
        </is>
      </c>
      <c r="C29" s="2" t="inlineStr">
        <is>
          <t>C0805</t>
        </is>
      </c>
      <c r="D29" s="2" t="inlineStr">
        <is>
          <t>100nF/50V，X7R</t>
        </is>
      </c>
      <c r="E29" s="2" t="inlineStr">
        <is>
          <t>0805</t>
        </is>
      </c>
      <c r="F29" s="2" t="n">
        <v>1</v>
      </c>
      <c r="G29" s="2" t="n">
        <v>1</v>
      </c>
      <c r="H29" s="2" t="inlineStr">
        <is>
          <t>100nF/50V/0805/X7R，已购50只</t>
        </is>
      </c>
      <c r="I29" s="2" t="inlineStr">
        <is>
          <t>用户对数量回复50；按单板用16只，补购0只，装一板后余34只。完整料号/容差未提供；472批次独立记4.7nF，不混计库存</t>
        </is>
      </c>
      <c r="J29" s="2" t="inlineStr"/>
    </row>
    <row r="30" ht="58" customHeight="1">
      <c r="A30" s="2" t="inlineStr">
        <is>
          <t>C_U4</t>
        </is>
      </c>
      <c r="B30" s="2" t="inlineStr">
        <is>
          <t>100nF</t>
        </is>
      </c>
      <c r="C30" s="2" t="inlineStr">
        <is>
          <t>C0805</t>
        </is>
      </c>
      <c r="D30" s="2" t="inlineStr">
        <is>
          <t>100nF/50V，X7R</t>
        </is>
      </c>
      <c r="E30" s="2" t="inlineStr">
        <is>
          <t>0805</t>
        </is>
      </c>
      <c r="F30" s="2" t="n">
        <v>1</v>
      </c>
      <c r="G30" s="2" t="n">
        <v>1</v>
      </c>
      <c r="H30" s="2" t="inlineStr">
        <is>
          <t>100nF/50V/0805/X7R，已购50只</t>
        </is>
      </c>
      <c r="I30" s="2" t="inlineStr">
        <is>
          <t>用户对数量回复50；按单板用16只，补购0只，装一板后余34只。完整料号/容差未提供；472批次独立记4.7nF，不混计库存</t>
        </is>
      </c>
      <c r="J30" s="2" t="inlineStr"/>
    </row>
    <row r="31" ht="58" customHeight="1">
      <c r="A31" s="2" t="inlineStr">
        <is>
          <t>C_A2</t>
        </is>
      </c>
      <c r="B31" s="2" t="inlineStr">
        <is>
          <t>100nF</t>
        </is>
      </c>
      <c r="C31" s="2" t="inlineStr">
        <is>
          <t>C0805</t>
        </is>
      </c>
      <c r="D31" s="2" t="inlineStr">
        <is>
          <t>100nF/50V，X7R</t>
        </is>
      </c>
      <c r="E31" s="2" t="inlineStr">
        <is>
          <t>0805</t>
        </is>
      </c>
      <c r="F31" s="2" t="n">
        <v>1</v>
      </c>
      <c r="G31" s="2" t="n">
        <v>1</v>
      </c>
      <c r="H31" s="2" t="inlineStr">
        <is>
          <t>100nF/50V/0805/X7R，已购50只</t>
        </is>
      </c>
      <c r="I31" s="2" t="inlineStr">
        <is>
          <t>用户对数量回复50；按单板用16只，补购0只，装一板后余34只。完整料号/容差未提供；472批次独立记4.7nF，不混计库存</t>
        </is>
      </c>
      <c r="J31" s="2" t="inlineStr"/>
    </row>
    <row r="32" ht="58" customHeight="1">
      <c r="A32" s="2" t="inlineStr">
        <is>
          <t>C_REF_POS</t>
        </is>
      </c>
      <c r="B32" s="2" t="inlineStr">
        <is>
          <t>100nF</t>
        </is>
      </c>
      <c r="C32" s="2" t="inlineStr">
        <is>
          <t>C0805</t>
        </is>
      </c>
      <c r="D32" s="2" t="inlineStr">
        <is>
          <t>100nF/50V，X7R</t>
        </is>
      </c>
      <c r="E32" s="2" t="inlineStr">
        <is>
          <t>0805</t>
        </is>
      </c>
      <c r="F32" s="2" t="n">
        <v>1</v>
      </c>
      <c r="G32" s="2" t="n">
        <v>1</v>
      </c>
      <c r="H32" s="2" t="inlineStr">
        <is>
          <t>100nF/50V/0805/X7R，已购50只</t>
        </is>
      </c>
      <c r="I32" s="2" t="inlineStr">
        <is>
          <t>用户对数量回复50；按单板用16只，补购0只，装一板后余34只。完整料号/容差未提供；472批次独立记4.7nF，不混计库存</t>
        </is>
      </c>
      <c r="J32" s="2" t="inlineStr"/>
    </row>
    <row r="33" ht="58" customHeight="1">
      <c r="A33" s="2" t="inlineStr">
        <is>
          <t>C_REF_NEG</t>
        </is>
      </c>
      <c r="B33" s="2" t="inlineStr">
        <is>
          <t>100nF</t>
        </is>
      </c>
      <c r="C33" s="2" t="inlineStr">
        <is>
          <t>C0805</t>
        </is>
      </c>
      <c r="D33" s="2" t="inlineStr">
        <is>
          <t>100nF/50V，X7R</t>
        </is>
      </c>
      <c r="E33" s="2" t="inlineStr">
        <is>
          <t>0805</t>
        </is>
      </c>
      <c r="F33" s="2" t="n">
        <v>1</v>
      </c>
      <c r="G33" s="2" t="n">
        <v>1</v>
      </c>
      <c r="H33" s="2" t="inlineStr">
        <is>
          <t>100nF/50V/0805/X7R，已购50只</t>
        </is>
      </c>
      <c r="I33" s="2" t="inlineStr">
        <is>
          <t>用户对数量回复50；按单板用16只，补购0只，装一板后余34只。完整料号/容差未提供；472批次独立记4.7nF，不混计库存</t>
        </is>
      </c>
      <c r="J33" s="2" t="inlineStr"/>
    </row>
    <row r="34" ht="58" customHeight="1">
      <c r="A34" s="2" t="inlineStr">
        <is>
          <t>C_REF_OV</t>
        </is>
      </c>
      <c r="B34" s="2" t="inlineStr">
        <is>
          <t>100nF</t>
        </is>
      </c>
      <c r="C34" s="2" t="inlineStr">
        <is>
          <t>C0805</t>
        </is>
      </c>
      <c r="D34" s="2" t="inlineStr">
        <is>
          <t>100nF/50V，X7R</t>
        </is>
      </c>
      <c r="E34" s="2" t="inlineStr">
        <is>
          <t>0805</t>
        </is>
      </c>
      <c r="F34" s="2" t="n">
        <v>1</v>
      </c>
      <c r="G34" s="2" t="n">
        <v>1</v>
      </c>
      <c r="H34" s="2" t="inlineStr">
        <is>
          <t>100nF/50V/0805/X7R，已购50只</t>
        </is>
      </c>
      <c r="I34" s="2" t="inlineStr">
        <is>
          <t>用户对数量回复50；按单板用16只，补购0只，装一板后余34只。完整料号/容差未提供；472批次独立记4.7nF，不混计库存</t>
        </is>
      </c>
      <c r="J34" s="2" t="inlineStr"/>
    </row>
    <row r="35" ht="58" customHeight="1">
      <c r="A35" s="2" t="inlineStr">
        <is>
          <t>C_U5</t>
        </is>
      </c>
      <c r="B35" s="2" t="inlineStr">
        <is>
          <t>100nF</t>
        </is>
      </c>
      <c r="C35" s="2" t="inlineStr">
        <is>
          <t>C0805</t>
        </is>
      </c>
      <c r="D35" s="2" t="inlineStr">
        <is>
          <t>100nF/50V，X7R</t>
        </is>
      </c>
      <c r="E35" s="2" t="inlineStr">
        <is>
          <t>0805</t>
        </is>
      </c>
      <c r="F35" s="2" t="n">
        <v>1</v>
      </c>
      <c r="G35" s="2" t="n">
        <v>1</v>
      </c>
      <c r="H35" s="2" t="inlineStr">
        <is>
          <t>100nF/50V/0805/X7R，已购50只</t>
        </is>
      </c>
      <c r="I35" s="2" t="inlineStr">
        <is>
          <t>用户对数量回复50；按单板用16只，补购0只，装一板后余34只。完整料号/容差未提供；472批次独立记4.7nF，不混计库存</t>
        </is>
      </c>
      <c r="J35" s="2" t="inlineStr"/>
    </row>
    <row r="36" ht="58" customHeight="1">
      <c r="A36" s="2" t="inlineStr">
        <is>
          <t>C_U9</t>
        </is>
      </c>
      <c r="B36" s="2" t="inlineStr">
        <is>
          <t>100nF</t>
        </is>
      </c>
      <c r="C36" s="2" t="inlineStr">
        <is>
          <t>C0805</t>
        </is>
      </c>
      <c r="D36" s="2" t="inlineStr">
        <is>
          <t>100nF/50V，X7R</t>
        </is>
      </c>
      <c r="E36" s="2" t="inlineStr">
        <is>
          <t>0805</t>
        </is>
      </c>
      <c r="F36" s="2" t="n">
        <v>1</v>
      </c>
      <c r="G36" s="2" t="n">
        <v>1</v>
      </c>
      <c r="H36" s="2" t="inlineStr">
        <is>
          <t>100nF/50V/0805/X7R，已购50只</t>
        </is>
      </c>
      <c r="I36" s="2" t="inlineStr">
        <is>
          <t>用户对数量回复50；按单板用16只，补购0只，装一板后余34只。完整料号/容差未提供；472批次独立记4.7nF，不混计库存</t>
        </is>
      </c>
      <c r="J36" s="2" t="inlineStr"/>
    </row>
    <row r="37" ht="58" customHeight="1">
      <c r="A37" s="2" t="inlineStr">
        <is>
          <t>C11</t>
        </is>
      </c>
      <c r="B37" s="2" t="inlineStr">
        <is>
          <t>100nF</t>
        </is>
      </c>
      <c r="C37" s="2" t="inlineStr">
        <is>
          <t>C0805</t>
        </is>
      </c>
      <c r="D37" s="2" t="inlineStr">
        <is>
          <t>100nF/50V，X7R</t>
        </is>
      </c>
      <c r="E37" s="2" t="inlineStr">
        <is>
          <t>0805</t>
        </is>
      </c>
      <c r="F37" s="2" t="n">
        <v>1</v>
      </c>
      <c r="G37" s="2" t="n">
        <v>1</v>
      </c>
      <c r="H37" s="2" t="inlineStr">
        <is>
          <t>100nF/50V/0805/X7R，已购50只</t>
        </is>
      </c>
      <c r="I37" s="2" t="inlineStr">
        <is>
          <t>用户对数量回复50；按单板用16只，补购0只，装一板后余34只。完整料号/容差未提供；472批次独立记4.7nF，不混计库存</t>
        </is>
      </c>
      <c r="J37" s="2" t="inlineStr"/>
    </row>
    <row r="38" ht="58" customHeight="1">
      <c r="A38" s="2" t="inlineStr">
        <is>
          <t>C_U6</t>
        </is>
      </c>
      <c r="B38" s="2" t="inlineStr">
        <is>
          <t>100nF</t>
        </is>
      </c>
      <c r="C38" s="2" t="inlineStr">
        <is>
          <t>C0805</t>
        </is>
      </c>
      <c r="D38" s="2" t="inlineStr">
        <is>
          <t>100nF/50V，X7R</t>
        </is>
      </c>
      <c r="E38" s="2" t="inlineStr">
        <is>
          <t>0805</t>
        </is>
      </c>
      <c r="F38" s="2" t="n">
        <v>1</v>
      </c>
      <c r="G38" s="2" t="n">
        <v>1</v>
      </c>
      <c r="H38" s="2" t="inlineStr">
        <is>
          <t>100nF/50V/0805/X7R，已购50只</t>
        </is>
      </c>
      <c r="I38" s="2" t="inlineStr">
        <is>
          <t>用户对数量回复50；按单板用16只，补购0只，装一板后余34只。完整料号/容差未提供；472批次独立记4.7nF，不混计库存</t>
        </is>
      </c>
      <c r="J38" s="2" t="inlineStr"/>
    </row>
    <row r="39" ht="58" customHeight="1">
      <c r="A39" s="2" t="inlineStr">
        <is>
          <t>C_U7</t>
        </is>
      </c>
      <c r="B39" s="2" t="inlineStr">
        <is>
          <t>100nF</t>
        </is>
      </c>
      <c r="C39" s="2" t="inlineStr">
        <is>
          <t>C0805</t>
        </is>
      </c>
      <c r="D39" s="2" t="inlineStr">
        <is>
          <t>100nF/50V，X7R</t>
        </is>
      </c>
      <c r="E39" s="2" t="inlineStr">
        <is>
          <t>0805</t>
        </is>
      </c>
      <c r="F39" s="2" t="n">
        <v>1</v>
      </c>
      <c r="G39" s="2" t="n">
        <v>1</v>
      </c>
      <c r="H39" s="2" t="inlineStr">
        <is>
          <t>100nF/50V/0805/X7R，已购50只</t>
        </is>
      </c>
      <c r="I39" s="2" t="inlineStr">
        <is>
          <t>用户对数量回复50；按单板用16只，补购0只，装一板后余34只。完整料号/容差未提供；472批次独立记4.7nF，不混计库存</t>
        </is>
      </c>
      <c r="J39" s="2" t="inlineStr"/>
    </row>
    <row r="40" ht="58" customHeight="1">
      <c r="A40" s="2" t="inlineStr">
        <is>
          <t>C_U8</t>
        </is>
      </c>
      <c r="B40" s="2" t="inlineStr">
        <is>
          <t>100nF</t>
        </is>
      </c>
      <c r="C40" s="2" t="inlineStr">
        <is>
          <t>C0805</t>
        </is>
      </c>
      <c r="D40" s="2" t="inlineStr">
        <is>
          <t>100nF/50V，X7R</t>
        </is>
      </c>
      <c r="E40" s="2" t="inlineStr">
        <is>
          <t>0805</t>
        </is>
      </c>
      <c r="F40" s="2" t="n">
        <v>1</v>
      </c>
      <c r="G40" s="2" t="n">
        <v>1</v>
      </c>
      <c r="H40" s="2" t="inlineStr">
        <is>
          <t>100nF/50V/0805/X7R，已购50只</t>
        </is>
      </c>
      <c r="I40" s="2" t="inlineStr">
        <is>
          <t>用户对数量回复50；按单板用16只，补购0只，装一板后余34只。完整料号/容差未提供；472批次独立记4.7nF，不混计库存</t>
        </is>
      </c>
      <c r="J40" s="2" t="inlineStr"/>
    </row>
    <row r="41" ht="58" customHeight="1">
      <c r="A41" s="2" t="inlineStr">
        <is>
          <t>C_REF_IOUT</t>
        </is>
      </c>
      <c r="B41" s="2" t="inlineStr">
        <is>
          <t>100nF</t>
        </is>
      </c>
      <c r="C41" s="2" t="inlineStr">
        <is>
          <t>C0805</t>
        </is>
      </c>
      <c r="D41" s="2" t="inlineStr">
        <is>
          <t>100nF/50V，X7R</t>
        </is>
      </c>
      <c r="E41" s="2" t="inlineStr">
        <is>
          <t>0805</t>
        </is>
      </c>
      <c r="F41" s="2" t="n">
        <v>1</v>
      </c>
      <c r="G41" s="2" t="n">
        <v>1</v>
      </c>
      <c r="H41" s="2" t="inlineStr">
        <is>
          <t>100nF/50V/0805/X7R，已购50只</t>
        </is>
      </c>
      <c r="I41" s="2" t="inlineStr">
        <is>
          <t>用户对数量回复50；按单板用16只，补购0只，装一板后余34只。完整料号/容差未提供；472批次独立记4.7nF，不混计库存</t>
        </is>
      </c>
      <c r="J41" s="2" t="inlineStr"/>
    </row>
    <row r="42" ht="58" customHeight="1">
      <c r="A42" s="2" t="inlineStr">
        <is>
          <t>C_IOUT_PROT</t>
        </is>
      </c>
      <c r="B42" s="2" t="inlineStr">
        <is>
          <t>100nF / 25V X7R</t>
        </is>
      </c>
      <c r="C42" s="2" t="inlineStr">
        <is>
          <t>C0805</t>
        </is>
      </c>
      <c r="D42" s="2" t="inlineStr">
        <is>
          <t>100nF/50V，X7R</t>
        </is>
      </c>
      <c r="E42" s="2" t="inlineStr">
        <is>
          <t>0805</t>
        </is>
      </c>
      <c r="F42" s="2" t="n">
        <v>1</v>
      </c>
      <c r="G42" s="2" t="n">
        <v>1</v>
      </c>
      <c r="H42" s="2" t="inlineStr">
        <is>
          <t>100nF/50V/0805/X7R，已购50只</t>
        </is>
      </c>
      <c r="I42" s="2" t="inlineStr">
        <is>
          <t>用户对数量回复50；按单板用16只，补购0只，装一板后余34只。完整料号/容差未提供；472批次独立记4.7nF，不混计库存</t>
        </is>
      </c>
      <c r="J42" s="2" t="inlineStr">
        <is>
          <t>告警RC时间常数100us；不替代固件持续判据或输出硬限流</t>
        </is>
      </c>
    </row>
    <row r="43" ht="58" customHeight="1">
      <c r="A43" s="2" t="inlineStr">
        <is>
          <t>C7</t>
        </is>
      </c>
      <c r="B43" s="2" t="inlineStr">
        <is>
          <t>4.7nF</t>
        </is>
      </c>
      <c r="C43" s="2" t="inlineStr">
        <is>
          <t>C0805</t>
        </is>
      </c>
      <c r="D43" s="2" t="inlineStr">
        <is>
          <t>CL21B472JBANNNC；4.7nF/50V，±5%，X7R</t>
        </is>
      </c>
      <c r="E43" s="2" t="inlineStr">
        <is>
          <t>0805</t>
        </is>
      </c>
      <c r="F43" s="2" t="n">
        <v>1</v>
      </c>
      <c r="G43" s="2" t="n">
        <v>1</v>
      </c>
      <c r="H43" s="2" t="inlineStr">
        <is>
          <t>用户已确认完整型号；库存数量待核</t>
        </is>
      </c>
      <c r="I43" s="2" t="inlineStr">
        <is>
          <t>用户回复就是这个型号；按其编码图确认为0805/4.7nF/50V/±5%/X7R，单板4只，四个位号源图未指定C0G。不得用于C_VINP_ADC，不与C0G库存混计</t>
        </is>
      </c>
      <c r="J43" s="2" t="inlineStr"/>
    </row>
    <row r="44" ht="58" customHeight="1">
      <c r="A44" s="2" t="inlineStr">
        <is>
          <t>C8</t>
        </is>
      </c>
      <c r="B44" s="2" t="inlineStr">
        <is>
          <t>4.7nF</t>
        </is>
      </c>
      <c r="C44" s="2" t="inlineStr">
        <is>
          <t>C0805</t>
        </is>
      </c>
      <c r="D44" s="2" t="inlineStr">
        <is>
          <t>CL21B472JBANNNC；4.7nF/50V，±5%，X7R</t>
        </is>
      </c>
      <c r="E44" s="2" t="inlineStr">
        <is>
          <t>0805</t>
        </is>
      </c>
      <c r="F44" s="2" t="n">
        <v>1</v>
      </c>
      <c r="G44" s="2" t="n">
        <v>1</v>
      </c>
      <c r="H44" s="2" t="inlineStr">
        <is>
          <t>用户已确认完整型号；库存数量待核</t>
        </is>
      </c>
      <c r="I44" s="2" t="inlineStr">
        <is>
          <t>用户回复就是这个型号；按其编码图确认为0805/4.7nF/50V/±5%/X7R，单板4只，四个位号源图未指定C0G。不得用于C_VINP_ADC，不与C0G库存混计</t>
        </is>
      </c>
      <c r="J44" s="2" t="inlineStr"/>
    </row>
    <row r="45" ht="58" customHeight="1">
      <c r="A45" s="2" t="inlineStr">
        <is>
          <t>C9</t>
        </is>
      </c>
      <c r="B45" s="2" t="inlineStr">
        <is>
          <t>4.7nF</t>
        </is>
      </c>
      <c r="C45" s="2" t="inlineStr">
        <is>
          <t>C0805</t>
        </is>
      </c>
      <c r="D45" s="2" t="inlineStr">
        <is>
          <t>CL21B472JBANNNC；4.7nF/50V，±5%，X7R</t>
        </is>
      </c>
      <c r="E45" s="2" t="inlineStr">
        <is>
          <t>0805</t>
        </is>
      </c>
      <c r="F45" s="2" t="n">
        <v>1</v>
      </c>
      <c r="G45" s="2" t="n">
        <v>1</v>
      </c>
      <c r="H45" s="2" t="inlineStr">
        <is>
          <t>用户已确认完整型号；库存数量待核</t>
        </is>
      </c>
      <c r="I45" s="2" t="inlineStr">
        <is>
          <t>用户回复就是这个型号；按其编码图确认为0805/4.7nF/50V/±5%/X7R，单板4只，四个位号源图未指定C0G。不得用于C_VINP_ADC，不与C0G库存混计</t>
        </is>
      </c>
      <c r="J45" s="2" t="inlineStr"/>
    </row>
    <row r="46" ht="58" customHeight="1">
      <c r="A46" s="2" t="inlineStr">
        <is>
          <t>C10</t>
        </is>
      </c>
      <c r="B46" s="2" t="inlineStr">
        <is>
          <t>4.7nF</t>
        </is>
      </c>
      <c r="C46" s="2" t="inlineStr">
        <is>
          <t>C0805</t>
        </is>
      </c>
      <c r="D46" s="2" t="inlineStr">
        <is>
          <t>CL21B472JBANNNC；4.7nF/50V，±5%，X7R</t>
        </is>
      </c>
      <c r="E46" s="2" t="inlineStr">
        <is>
          <t>0805</t>
        </is>
      </c>
      <c r="F46" s="2" t="n">
        <v>1</v>
      </c>
      <c r="G46" s="2" t="n">
        <v>1</v>
      </c>
      <c r="H46" s="2" t="inlineStr">
        <is>
          <t>用户已确认完整型号；库存数量待核</t>
        </is>
      </c>
      <c r="I46" s="2" t="inlineStr">
        <is>
          <t>用户回复就是这个型号；按其编码图确认为0805/4.7nF/50V/±5%/X7R，单板4只，四个位号源图未指定C0G。不得用于C_VINP_ADC，不与C0G库存混计</t>
        </is>
      </c>
      <c r="J46" s="2" t="inlineStr"/>
    </row>
    <row r="47" ht="58" customHeight="1">
      <c r="A47" s="2" t="inlineStr">
        <is>
          <t>C_VINP_ADC</t>
        </is>
      </c>
      <c r="B47" s="2" t="inlineStr">
        <is>
          <t>4.7nF / C0G</t>
        </is>
      </c>
      <c r="C47" s="2" t="inlineStr">
        <is>
          <t>C0805</t>
        </is>
      </c>
      <c r="D47" s="2" t="inlineStr">
        <is>
          <t>4.7nF/50V，C0G/NP0</t>
        </is>
      </c>
      <c r="E47" s="2" t="inlineStr">
        <is>
          <t>0805</t>
        </is>
      </c>
      <c r="F47" s="2" t="n">
        <v>1</v>
      </c>
      <c r="G47" s="2" t="n">
        <v>1</v>
      </c>
      <c r="H47" s="2" t="inlineStr">
        <is>
          <t>4.7nF/50V/C0G/0805，已购2只</t>
        </is>
      </c>
      <c r="I47" s="2" t="inlineStr">
        <is>
          <t>用户对C0G批次数量回复2；单板1只，补购0只，装配一板后余1只。与C7～C10的CL21B472JBANNNC/X7R库存分开；完整料号/容差未提供</t>
        </is>
      </c>
      <c r="J47" s="2" t="inlineStr">
        <is>
          <t>含分压源阻抗的标称τ约47.4us</t>
        </is>
      </c>
    </row>
    <row r="48" ht="58" customHeight="1">
      <c r="A48" s="2" t="inlineStr">
        <is>
          <t>C_IL_ADC</t>
        </is>
      </c>
      <c r="B48" s="2" t="inlineStr">
        <is>
          <t>1nF</t>
        </is>
      </c>
      <c r="C48" s="2" t="inlineStr">
        <is>
          <t>C0805</t>
        </is>
      </c>
      <c r="D48" s="2" t="inlineStr">
        <is>
          <t>1nF/50V，建议C0G/NP0</t>
        </is>
      </c>
      <c r="E48" s="2" t="inlineStr">
        <is>
          <t>0805</t>
        </is>
      </c>
      <c r="F48" s="2" t="n">
        <v>1</v>
      </c>
      <c r="G48" s="2" t="n">
        <v>1</v>
      </c>
      <c r="H48" s="2" t="inlineStr">
        <is>
          <t>核对已购物料</t>
        </is>
      </c>
      <c r="I48" s="2" t="inlineStr">
        <is>
          <t>正常装配2只；C_IL_PROT明确C0G</t>
        </is>
      </c>
      <c r="J48" s="2" t="inlineStr"/>
    </row>
    <row r="49" ht="58" customHeight="1">
      <c r="A49" s="2" t="inlineStr">
        <is>
          <t>C_IL_PROT</t>
        </is>
      </c>
      <c r="B49" s="2" t="inlineStr">
        <is>
          <t>1nF / C0G</t>
        </is>
      </c>
      <c r="C49" s="2" t="inlineStr">
        <is>
          <t>C0805</t>
        </is>
      </c>
      <c r="D49" s="2" t="inlineStr">
        <is>
          <t>1nF/50V，建议C0G/NP0</t>
        </is>
      </c>
      <c r="E49" s="2" t="inlineStr">
        <is>
          <t>0805</t>
        </is>
      </c>
      <c r="F49" s="2" t="n">
        <v>1</v>
      </c>
      <c r="G49" s="2" t="n">
        <v>1</v>
      </c>
      <c r="H49" s="2" t="inlineStr">
        <is>
          <t>核对已购物料</t>
        </is>
      </c>
      <c r="I49" s="2" t="inlineStr">
        <is>
          <t>正常装配2只；C_IL_PROT明确C0G</t>
        </is>
      </c>
      <c r="J49" s="2" t="inlineStr">
        <is>
          <t>RC时间常数1us，不是固定1us blanking或总响应时间</t>
        </is>
      </c>
    </row>
    <row r="50" ht="58" customHeight="1">
      <c r="A50" s="2" t="inlineStr">
        <is>
          <t>C_SN</t>
        </is>
      </c>
      <c r="B50" s="2" t="inlineStr">
        <is>
          <t>1nF / 100V C0G / DNP</t>
        </is>
      </c>
      <c r="C50" s="2" t="inlineStr">
        <is>
          <t>C0805</t>
        </is>
      </c>
      <c r="D50" s="2" t="inlineStr">
        <is>
          <t>1nF/100V，C0G/NP0，DNP</t>
        </is>
      </c>
      <c r="E50" s="2" t="inlineStr">
        <is>
          <t>0805</t>
        </is>
      </c>
      <c r="F50" s="2" t="n">
        <v>1</v>
      </c>
      <c r="G50" s="2" t="n">
        <v>0</v>
      </c>
      <c r="H50" s="2" t="inlineStr">
        <is>
          <t>DNP，默认不装</t>
        </is>
      </c>
      <c r="I50" s="2" t="inlineStr">
        <is>
          <t>吸收电路预留，实测振铃后决定是否装配及调值</t>
        </is>
      </c>
      <c r="J50" s="2" t="inlineStr">
        <is>
          <t>默认不装，配合R_SN</t>
        </is>
      </c>
    </row>
    <row r="51" ht="58" customHeight="1">
      <c r="A51" s="2" t="inlineStr">
        <is>
          <t>RG_H</t>
        </is>
      </c>
      <c r="B51" s="2" t="inlineStr">
        <is>
          <t>4.7Ω</t>
        </is>
      </c>
      <c r="C51" s="2" t="inlineStr">
        <is>
          <t>R0805</t>
        </is>
      </c>
      <c r="D51" s="2" t="inlineStr">
        <is>
          <t>4.7Ω，建议1%、≥0.125W</t>
        </is>
      </c>
      <c r="E51" s="2" t="inlineStr">
        <is>
          <t>0805</t>
        </is>
      </c>
      <c r="F51" s="2" t="n">
        <v>1</v>
      </c>
      <c r="G51" s="2" t="n">
        <v>1</v>
      </c>
      <c r="H51" s="2" t="inlineStr">
        <is>
          <t>核对已购物料</t>
        </is>
      </c>
      <c r="I51" s="2" t="inlineStr">
        <is>
          <t>不要沿用Rev B中的旧栅极电阻值</t>
        </is>
      </c>
      <c r="J51" s="2" t="inlineStr"/>
    </row>
    <row r="52" ht="58" customHeight="1">
      <c r="A52" s="2" t="inlineStr">
        <is>
          <t>RG_L</t>
        </is>
      </c>
      <c r="B52" s="2" t="inlineStr">
        <is>
          <t>4.7Ω</t>
        </is>
      </c>
      <c r="C52" s="2" t="inlineStr">
        <is>
          <t>R0805</t>
        </is>
      </c>
      <c r="D52" s="2" t="inlineStr">
        <is>
          <t>4.7Ω，建议1%、≥0.125W</t>
        </is>
      </c>
      <c r="E52" s="2" t="inlineStr">
        <is>
          <t>0805</t>
        </is>
      </c>
      <c r="F52" s="2" t="n">
        <v>1</v>
      </c>
      <c r="G52" s="2" t="n">
        <v>1</v>
      </c>
      <c r="H52" s="2" t="inlineStr">
        <is>
          <t>核对已购物料</t>
        </is>
      </c>
      <c r="I52" s="2" t="inlineStr">
        <is>
          <t>不要沿用Rev B中的旧栅极电阻值</t>
        </is>
      </c>
      <c r="J52" s="2" t="inlineStr"/>
    </row>
    <row r="53" ht="58" customHeight="1">
      <c r="A53" s="2" t="inlineStr">
        <is>
          <t>R_VDDA</t>
        </is>
      </c>
      <c r="B53" s="2" t="inlineStr">
        <is>
          <t>1Ω</t>
        </is>
      </c>
      <c r="C53" s="2" t="inlineStr">
        <is>
          <t>R0805</t>
        </is>
      </c>
      <c r="D53" s="2" t="inlineStr">
        <is>
          <t>1Ω，建议1%、≥0.125W</t>
        </is>
      </c>
      <c r="E53" s="2" t="inlineStr">
        <is>
          <t>0805</t>
        </is>
      </c>
      <c r="F53" s="2" t="n">
        <v>1</v>
      </c>
      <c r="G53" s="2" t="n">
        <v>1</v>
      </c>
      <c r="H53" s="2" t="inlineStr">
        <is>
          <t>核对已购物料</t>
        </is>
      </c>
      <c r="I53" s="2" t="inlineStr">
        <is>
          <t>模拟电源串联电阻，不能错装成0Ω</t>
        </is>
      </c>
      <c r="J53" s="2" t="inlineStr"/>
    </row>
    <row r="54" ht="58" customHeight="1">
      <c r="A54" s="2" t="inlineStr">
        <is>
          <t>R_PWM</t>
        </is>
      </c>
      <c r="B54" s="2" t="inlineStr">
        <is>
          <t>100Ω</t>
        </is>
      </c>
      <c r="C54" s="2" t="inlineStr">
        <is>
          <t>R0805</t>
        </is>
      </c>
      <c r="D54" s="2" t="inlineStr">
        <is>
          <t>100Ω，建议1%、≥0.125W</t>
        </is>
      </c>
      <c r="E54" s="2" t="inlineStr">
        <is>
          <t>0805</t>
        </is>
      </c>
      <c r="F54" s="2" t="n">
        <v>1</v>
      </c>
      <c r="G54" s="2" t="n">
        <v>1</v>
      </c>
      <c r="H54" s="2" t="inlineStr">
        <is>
          <t>核对已购物料</t>
        </is>
      </c>
      <c r="I54" s="2" t="inlineStr">
        <is>
          <t>与100Ω/0.1%精密电阻分开采购</t>
        </is>
      </c>
      <c r="J54" s="2" t="inlineStr"/>
    </row>
    <row r="55" ht="58" customHeight="1">
      <c r="A55" s="2" t="inlineStr">
        <is>
          <t>R3</t>
        </is>
      </c>
      <c r="B55" s="2" t="inlineStr">
        <is>
          <t>1kΩ</t>
        </is>
      </c>
      <c r="C55" s="2" t="inlineStr">
        <is>
          <t>R0805</t>
        </is>
      </c>
      <c r="D55" s="2" t="inlineStr">
        <is>
          <t>1kΩ，1%、≥0.125W（统一采购建议）</t>
        </is>
      </c>
      <c r="E55" s="2" t="inlineStr">
        <is>
          <t>0805</t>
        </is>
      </c>
      <c r="F55" s="2" t="n">
        <v>1</v>
      </c>
      <c r="G55" s="2" t="n">
        <v>1</v>
      </c>
      <c r="H55" s="2" t="inlineStr">
        <is>
          <t>核对已购物料</t>
        </is>
      </c>
      <c r="I55" s="2" t="inlineStr">
        <is>
          <t>共8只；两项保护电阻明确要求1%；原图其余未明确精度，建议统一1%</t>
        </is>
      </c>
      <c r="J55" s="2" t="inlineStr"/>
    </row>
    <row r="56" ht="58" customHeight="1">
      <c r="A56" s="2" t="inlineStr">
        <is>
          <t>R6</t>
        </is>
      </c>
      <c r="B56" s="2" t="inlineStr">
        <is>
          <t>1kΩ</t>
        </is>
      </c>
      <c r="C56" s="2" t="inlineStr">
        <is>
          <t>R0805</t>
        </is>
      </c>
      <c r="D56" s="2" t="inlineStr">
        <is>
          <t>1kΩ，1%、≥0.125W（统一采购建议）</t>
        </is>
      </c>
      <c r="E56" s="2" t="inlineStr">
        <is>
          <t>0805</t>
        </is>
      </c>
      <c r="F56" s="2" t="n">
        <v>1</v>
      </c>
      <c r="G56" s="2" t="n">
        <v>1</v>
      </c>
      <c r="H56" s="2" t="inlineStr">
        <is>
          <t>核对已购物料</t>
        </is>
      </c>
      <c r="I56" s="2" t="inlineStr">
        <is>
          <t>共8只；两项保护电阻明确要求1%；原图其余未明确精度，建议统一1%</t>
        </is>
      </c>
      <c r="J56" s="2" t="inlineStr"/>
    </row>
    <row r="57" ht="58" customHeight="1">
      <c r="A57" s="2" t="inlineStr">
        <is>
          <t>R7</t>
        </is>
      </c>
      <c r="B57" s="2" t="inlineStr">
        <is>
          <t>1kΩ</t>
        </is>
      </c>
      <c r="C57" s="2" t="inlineStr">
        <is>
          <t>R0805</t>
        </is>
      </c>
      <c r="D57" s="2" t="inlineStr">
        <is>
          <t>1kΩ，1%、≥0.125W（统一采购建议）</t>
        </is>
      </c>
      <c r="E57" s="2" t="inlineStr">
        <is>
          <t>0805</t>
        </is>
      </c>
      <c r="F57" s="2" t="n">
        <v>1</v>
      </c>
      <c r="G57" s="2" t="n">
        <v>1</v>
      </c>
      <c r="H57" s="2" t="inlineStr">
        <is>
          <t>核对已购物料</t>
        </is>
      </c>
      <c r="I57" s="2" t="inlineStr">
        <is>
          <t>共8只；两项保护电阻明确要求1%；原图其余未明确精度，建议统一1%</t>
        </is>
      </c>
      <c r="J57" s="2" t="inlineStr"/>
    </row>
    <row r="58" ht="58" customHeight="1">
      <c r="A58" s="2" t="inlineStr">
        <is>
          <t>R8</t>
        </is>
      </c>
      <c r="B58" s="2" t="inlineStr">
        <is>
          <t>1kΩ</t>
        </is>
      </c>
      <c r="C58" s="2" t="inlineStr">
        <is>
          <t>R0805</t>
        </is>
      </c>
      <c r="D58" s="2" t="inlineStr">
        <is>
          <t>1kΩ，1%、≥0.125W（统一采购建议）</t>
        </is>
      </c>
      <c r="E58" s="2" t="inlineStr">
        <is>
          <t>0805</t>
        </is>
      </c>
      <c r="F58" s="2" t="n">
        <v>1</v>
      </c>
      <c r="G58" s="2" t="n">
        <v>1</v>
      </c>
      <c r="H58" s="2" t="inlineStr">
        <is>
          <t>核对已购物料</t>
        </is>
      </c>
      <c r="I58" s="2" t="inlineStr">
        <is>
          <t>共8只；两项保护电阻明确要求1%；原图其余未明确精度，建议统一1%</t>
        </is>
      </c>
      <c r="J58" s="2" t="inlineStr"/>
    </row>
    <row r="59" ht="58" customHeight="1">
      <c r="A59" s="2" t="inlineStr">
        <is>
          <t>R_IL_ADC</t>
        </is>
      </c>
      <c r="B59" s="2" t="inlineStr">
        <is>
          <t>1kΩ</t>
        </is>
      </c>
      <c r="C59" s="2" t="inlineStr">
        <is>
          <t>R0805</t>
        </is>
      </c>
      <c r="D59" s="2" t="inlineStr">
        <is>
          <t>1kΩ，1%、≥0.125W（统一采购建议）</t>
        </is>
      </c>
      <c r="E59" s="2" t="inlineStr">
        <is>
          <t>0805</t>
        </is>
      </c>
      <c r="F59" s="2" t="n">
        <v>1</v>
      </c>
      <c r="G59" s="2" t="n">
        <v>1</v>
      </c>
      <c r="H59" s="2" t="inlineStr">
        <is>
          <t>核对已购物料</t>
        </is>
      </c>
      <c r="I59" s="2" t="inlineStr">
        <is>
          <t>共8只；两项保护电阻明确要求1%；原图其余未明确精度，建议统一1%</t>
        </is>
      </c>
      <c r="J59" s="2" t="inlineStr"/>
    </row>
    <row r="60" ht="58" customHeight="1">
      <c r="A60" s="2" t="inlineStr">
        <is>
          <t>R_VINP_ADC</t>
        </is>
      </c>
      <c r="B60" s="2" t="inlineStr">
        <is>
          <t>1kΩ</t>
        </is>
      </c>
      <c r="C60" s="2" t="inlineStr">
        <is>
          <t>R0805</t>
        </is>
      </c>
      <c r="D60" s="2" t="inlineStr">
        <is>
          <t>1kΩ，1%、≥0.125W（统一采购建议）</t>
        </is>
      </c>
      <c r="E60" s="2" t="inlineStr">
        <is>
          <t>0805</t>
        </is>
      </c>
      <c r="F60" s="2" t="n">
        <v>1</v>
      </c>
      <c r="G60" s="2" t="n">
        <v>1</v>
      </c>
      <c r="H60" s="2" t="inlineStr">
        <is>
          <t>核对已购物料</t>
        </is>
      </c>
      <c r="I60" s="2" t="inlineStr">
        <is>
          <t>共8只；两项保护电阻明确要求1%；原图其余未明确精度，建议统一1%</t>
        </is>
      </c>
      <c r="J60" s="2" t="inlineStr">
        <is>
          <t>ADC串联滤波/限流</t>
        </is>
      </c>
    </row>
    <row r="61" ht="58" customHeight="1">
      <c r="A61" s="2" t="inlineStr">
        <is>
          <t>R_IL_PROT</t>
        </is>
      </c>
      <c r="B61" s="2" t="inlineStr">
        <is>
          <t>1kΩ / 1%</t>
        </is>
      </c>
      <c r="C61" s="2" t="inlineStr">
        <is>
          <t>R0805</t>
        </is>
      </c>
      <c r="D61" s="2" t="inlineStr">
        <is>
          <t>1kΩ，1%、≥0.125W（统一采购建议）</t>
        </is>
      </c>
      <c r="E61" s="2" t="inlineStr">
        <is>
          <t>0805</t>
        </is>
      </c>
      <c r="F61" s="2" t="n">
        <v>1</v>
      </c>
      <c r="G61" s="2" t="n">
        <v>1</v>
      </c>
      <c r="H61" s="2" t="inlineStr">
        <is>
          <t>核对已购物料</t>
        </is>
      </c>
      <c r="I61" s="2" t="inlineStr">
        <is>
          <t>共8只；两项保护电阻明确要求1%；原图其余未明确精度，建议统一1%</t>
        </is>
      </c>
      <c r="J61" s="2" t="inlineStr"/>
    </row>
    <row r="62" ht="58" customHeight="1">
      <c r="A62" s="2" t="inlineStr">
        <is>
          <t>R_IOUT_PROT</t>
        </is>
      </c>
      <c r="B62" s="2" t="inlineStr">
        <is>
          <t>1kΩ / 1%</t>
        </is>
      </c>
      <c r="C62" s="2" t="inlineStr">
        <is>
          <t>R0805</t>
        </is>
      </c>
      <c r="D62" s="2" t="inlineStr">
        <is>
          <t>1kΩ，1%、≥0.125W（统一采购建议）</t>
        </is>
      </c>
      <c r="E62" s="2" t="inlineStr">
        <is>
          <t>0805</t>
        </is>
      </c>
      <c r="F62" s="2" t="n">
        <v>1</v>
      </c>
      <c r="G62" s="2" t="n">
        <v>1</v>
      </c>
      <c r="H62" s="2" t="inlineStr">
        <is>
          <t>核对已购物料</t>
        </is>
      </c>
      <c r="I62" s="2" t="inlineStr">
        <is>
          <t>共8只；两项保护电阻明确要求1%；原图其余未明确精度，建议统一1%</t>
        </is>
      </c>
      <c r="J62" s="2" t="inlineStr"/>
    </row>
    <row r="63" ht="58" customHeight="1">
      <c r="A63" s="2" t="inlineStr">
        <is>
          <t>R_GSH</t>
        </is>
      </c>
      <c r="B63" s="2" t="inlineStr">
        <is>
          <t>10kΩ</t>
        </is>
      </c>
      <c r="C63" s="2" t="inlineStr">
        <is>
          <t>R0805</t>
        </is>
      </c>
      <c r="D63" s="2" t="inlineStr">
        <is>
          <t>10kΩ，建议1%、≥0.125W</t>
        </is>
      </c>
      <c r="E63" s="2" t="inlineStr">
        <is>
          <t>0805</t>
        </is>
      </c>
      <c r="F63" s="2" t="n">
        <v>1</v>
      </c>
      <c r="G63" s="2" t="n">
        <v>1</v>
      </c>
      <c r="H63" s="2" t="inlineStr">
        <is>
          <t>核对已购物料</t>
        </is>
      </c>
      <c r="I63" s="2" t="inlineStr">
        <is>
          <t>普通10kΩ共10只；不替代0.1%分压/参考电阻</t>
        </is>
      </c>
      <c r="J63" s="2" t="inlineStr"/>
    </row>
    <row r="64" ht="58" customHeight="1">
      <c r="A64" s="2" t="inlineStr">
        <is>
          <t>R_GSL</t>
        </is>
      </c>
      <c r="B64" s="2" t="inlineStr">
        <is>
          <t>10kΩ</t>
        </is>
      </c>
      <c r="C64" s="2" t="inlineStr">
        <is>
          <t>R0805</t>
        </is>
      </c>
      <c r="D64" s="2" t="inlineStr">
        <is>
          <t>10kΩ，建议1%、≥0.125W</t>
        </is>
      </c>
      <c r="E64" s="2" t="inlineStr">
        <is>
          <t>0805</t>
        </is>
      </c>
      <c r="F64" s="2" t="n">
        <v>1</v>
      </c>
      <c r="G64" s="2" t="n">
        <v>1</v>
      </c>
      <c r="H64" s="2" t="inlineStr">
        <is>
          <t>核对已购物料</t>
        </is>
      </c>
      <c r="I64" s="2" t="inlineStr">
        <is>
          <t>普通10kΩ共10只；不替代0.1%分压/参考电阻</t>
        </is>
      </c>
      <c r="J64" s="2" t="inlineStr"/>
    </row>
    <row r="65" ht="58" customHeight="1">
      <c r="A65" s="2" t="inlineStr">
        <is>
          <t>R_IN_PD</t>
        </is>
      </c>
      <c r="B65" s="2" t="inlineStr">
        <is>
          <t>10kΩ</t>
        </is>
      </c>
      <c r="C65" s="2" t="inlineStr">
        <is>
          <t>R0805</t>
        </is>
      </c>
      <c r="D65" s="2" t="inlineStr">
        <is>
          <t>10kΩ，建议1%、≥0.125W</t>
        </is>
      </c>
      <c r="E65" s="2" t="inlineStr">
        <is>
          <t>0805</t>
        </is>
      </c>
      <c r="F65" s="2" t="n">
        <v>1</v>
      </c>
      <c r="G65" s="2" t="n">
        <v>1</v>
      </c>
      <c r="H65" s="2" t="inlineStr">
        <is>
          <t>核对已购物料</t>
        </is>
      </c>
      <c r="I65" s="2" t="inlineStr">
        <is>
          <t>普通10kΩ共10只；不替代0.1%分压/参考电阻</t>
        </is>
      </c>
      <c r="J65" s="2" t="inlineStr"/>
    </row>
    <row r="66" ht="58" customHeight="1">
      <c r="A66" s="2" t="inlineStr">
        <is>
          <t>R_SD_PD</t>
        </is>
      </c>
      <c r="B66" s="2" t="inlineStr">
        <is>
          <t>10kΩ</t>
        </is>
      </c>
      <c r="C66" s="2" t="inlineStr">
        <is>
          <t>R0805</t>
        </is>
      </c>
      <c r="D66" s="2" t="inlineStr">
        <is>
          <t>10kΩ，建议1%、≥0.125W</t>
        </is>
      </c>
      <c r="E66" s="2" t="inlineStr">
        <is>
          <t>0805</t>
        </is>
      </c>
      <c r="F66" s="2" t="n">
        <v>1</v>
      </c>
      <c r="G66" s="2" t="n">
        <v>1</v>
      </c>
      <c r="H66" s="2" t="inlineStr">
        <is>
          <t>核对已购物料</t>
        </is>
      </c>
      <c r="I66" s="2" t="inlineStr">
        <is>
          <t>普通10kΩ共10只；不替代0.1%分压/参考电阻</t>
        </is>
      </c>
      <c r="J66" s="2" t="inlineStr"/>
    </row>
    <row r="67" ht="58" customHeight="1">
      <c r="A67" s="2" t="inlineStr">
        <is>
          <t>R12</t>
        </is>
      </c>
      <c r="B67" s="2" t="inlineStr">
        <is>
          <t>10kΩ</t>
        </is>
      </c>
      <c r="C67" s="2" t="inlineStr">
        <is>
          <t>R0805</t>
        </is>
      </c>
      <c r="D67" s="2" t="inlineStr">
        <is>
          <t>10kΩ，建议1%、≥0.125W</t>
        </is>
      </c>
      <c r="E67" s="2" t="inlineStr">
        <is>
          <t>0805</t>
        </is>
      </c>
      <c r="F67" s="2" t="n">
        <v>1</v>
      </c>
      <c r="G67" s="2" t="n">
        <v>1</v>
      </c>
      <c r="H67" s="2" t="inlineStr">
        <is>
          <t>核对已购物料</t>
        </is>
      </c>
      <c r="I67" s="2" t="inlineStr">
        <is>
          <t>普通10kΩ共10只；不替代0.1%分压/参考电阻</t>
        </is>
      </c>
      <c r="J67" s="2" t="inlineStr"/>
    </row>
    <row r="68" ht="58" customHeight="1">
      <c r="A68" s="2" t="inlineStr">
        <is>
          <t>R13</t>
        </is>
      </c>
      <c r="B68" s="2" t="inlineStr">
        <is>
          <t>10kΩ</t>
        </is>
      </c>
      <c r="C68" s="2" t="inlineStr">
        <is>
          <t>R0805</t>
        </is>
      </c>
      <c r="D68" s="2" t="inlineStr">
        <is>
          <t>10kΩ，建议1%、≥0.125W</t>
        </is>
      </c>
      <c r="E68" s="2" t="inlineStr">
        <is>
          <t>0805</t>
        </is>
      </c>
      <c r="F68" s="2" t="n">
        <v>1</v>
      </c>
      <c r="G68" s="2" t="n">
        <v>1</v>
      </c>
      <c r="H68" s="2" t="inlineStr">
        <is>
          <t>核对已购物料</t>
        </is>
      </c>
      <c r="I68" s="2" t="inlineStr">
        <is>
          <t>普通10kΩ共10只；不替代0.1%分压/参考电阻</t>
        </is>
      </c>
      <c r="J68" s="2" t="inlineStr"/>
    </row>
    <row r="69" ht="58" customHeight="1">
      <c r="A69" s="2" t="inlineStr">
        <is>
          <t>R14</t>
        </is>
      </c>
      <c r="B69" s="2" t="inlineStr">
        <is>
          <t>10kΩ</t>
        </is>
      </c>
      <c r="C69" s="2" t="inlineStr">
        <is>
          <t>R0805</t>
        </is>
      </c>
      <c r="D69" s="2" t="inlineStr">
        <is>
          <t>10kΩ，建议1%、≥0.125W</t>
        </is>
      </c>
      <c r="E69" s="2" t="inlineStr">
        <is>
          <t>0805</t>
        </is>
      </c>
      <c r="F69" s="2" t="n">
        <v>1</v>
      </c>
      <c r="G69" s="2" t="n">
        <v>1</v>
      </c>
      <c r="H69" s="2" t="inlineStr">
        <is>
          <t>核对已购物料</t>
        </is>
      </c>
      <c r="I69" s="2" t="inlineStr">
        <is>
          <t>普通10kΩ共10只；不替代0.1%分压/参考电阻</t>
        </is>
      </c>
      <c r="J69" s="2" t="inlineStr"/>
    </row>
    <row r="70" ht="58" customHeight="1">
      <c r="A70" s="2" t="inlineStr">
        <is>
          <t>R_EN_PD</t>
        </is>
      </c>
      <c r="B70" s="2" t="inlineStr">
        <is>
          <t>10kΩ</t>
        </is>
      </c>
      <c r="C70" s="2" t="inlineStr">
        <is>
          <t>R0805</t>
        </is>
      </c>
      <c r="D70" s="2" t="inlineStr">
        <is>
          <t>10kΩ，建议1%、≥0.125W</t>
        </is>
      </c>
      <c r="E70" s="2" t="inlineStr">
        <is>
          <t>0805</t>
        </is>
      </c>
      <c r="F70" s="2" t="n">
        <v>1</v>
      </c>
      <c r="G70" s="2" t="n">
        <v>1</v>
      </c>
      <c r="H70" s="2" t="inlineStr">
        <is>
          <t>核对已购物料</t>
        </is>
      </c>
      <c r="I70" s="2" t="inlineStr">
        <is>
          <t>普通10kΩ共10只；不替代0.1%分压/参考电阻</t>
        </is>
      </c>
      <c r="J70" s="2" t="inlineStr"/>
    </row>
    <row r="71" ht="58" customHeight="1">
      <c r="A71" s="2" t="inlineStr">
        <is>
          <t>R_ARM_PD</t>
        </is>
      </c>
      <c r="B71" s="2" t="inlineStr">
        <is>
          <t>10kΩ</t>
        </is>
      </c>
      <c r="C71" s="2" t="inlineStr">
        <is>
          <t>R0805</t>
        </is>
      </c>
      <c r="D71" s="2" t="inlineStr">
        <is>
          <t>10kΩ，建议1%、≥0.125W</t>
        </is>
      </c>
      <c r="E71" s="2" t="inlineStr">
        <is>
          <t>0805</t>
        </is>
      </c>
      <c r="F71" s="2" t="n">
        <v>1</v>
      </c>
      <c r="G71" s="2" t="n">
        <v>1</v>
      </c>
      <c r="H71" s="2" t="inlineStr">
        <is>
          <t>核对已购物料</t>
        </is>
      </c>
      <c r="I71" s="2" t="inlineStr">
        <is>
          <t>普通10kΩ共10只；不替代0.1%分压/参考电阻</t>
        </is>
      </c>
      <c r="J71" s="2" t="inlineStr"/>
    </row>
    <row r="72" ht="58" customHeight="1">
      <c r="A72" s="2" t="inlineStr">
        <is>
          <t>R_IOUT_PU</t>
        </is>
      </c>
      <c r="B72" s="2" t="inlineStr">
        <is>
          <t>10kΩ</t>
        </is>
      </c>
      <c r="C72" s="2" t="inlineStr">
        <is>
          <t>R0805</t>
        </is>
      </c>
      <c r="D72" s="2" t="inlineStr">
        <is>
          <t>10kΩ，建议1%、≥0.125W</t>
        </is>
      </c>
      <c r="E72" s="2" t="inlineStr">
        <is>
          <t>0805</t>
        </is>
      </c>
      <c r="F72" s="2" t="n">
        <v>1</v>
      </c>
      <c r="G72" s="2" t="n">
        <v>1</v>
      </c>
      <c r="H72" s="2" t="inlineStr">
        <is>
          <t>核对已购物料</t>
        </is>
      </c>
      <c r="I72" s="2" t="inlineStr">
        <is>
          <t>普通10kΩ共10只；不替代0.1%分压/参考电阻</t>
        </is>
      </c>
      <c r="J72" s="2" t="inlineStr">
        <is>
          <t>U9B独立开集电极告警上拉，接PB11，禁止直接并入FAULT_N造成正常负载切换误锁存</t>
        </is>
      </c>
    </row>
    <row r="73" ht="58" customHeight="1">
      <c r="A73" s="2" t="inlineStr">
        <is>
          <t>R11</t>
        </is>
      </c>
      <c r="B73" s="2" t="inlineStr">
        <is>
          <t>23kΩ</t>
        </is>
      </c>
      <c r="C73" s="2" t="inlineStr">
        <is>
          <t>R0805</t>
        </is>
      </c>
      <c r="D73" s="2" t="inlineStr">
        <is>
          <t>23kΩ，建议1%、≥0.125W</t>
        </is>
      </c>
      <c r="E73" s="2" t="inlineStr">
        <is>
          <t>0805</t>
        </is>
      </c>
      <c r="F73" s="2" t="n">
        <v>1</v>
      </c>
      <c r="G73" s="2" t="n">
        <v>1</v>
      </c>
      <c r="H73" s="2" t="inlineStr">
        <is>
          <t>核对已购物料</t>
        </is>
      </c>
      <c r="I73" s="2" t="inlineStr">
        <is>
          <t>按23kΩ采购；不直接换成22kΩ</t>
        </is>
      </c>
      <c r="J73" s="2" t="inlineStr"/>
    </row>
    <row r="74" ht="58" customHeight="1">
      <c r="A74" s="2" t="inlineStr">
        <is>
          <t>R1</t>
        </is>
      </c>
      <c r="B74" s="2" t="inlineStr">
        <is>
          <t>100kΩ / 0.1%</t>
        </is>
      </c>
      <c r="C74" s="2" t="inlineStr">
        <is>
          <t>R0805</t>
        </is>
      </c>
      <c r="D74" s="2" t="inlineStr">
        <is>
          <t>100kΩ，0.1%，≥0.125W</t>
        </is>
      </c>
      <c r="E74" s="2" t="inlineStr">
        <is>
          <t>0805</t>
        </is>
      </c>
      <c r="F74" s="2" t="n">
        <v>1</v>
      </c>
      <c r="G74" s="2" t="n">
        <v>1</v>
      </c>
      <c r="H74" s="2" t="inlineStr">
        <is>
          <t>精度/料号待核</t>
        </is>
      </c>
      <c r="I74" s="2" t="inlineStr">
        <is>
          <t>温漂未在源图固定；按实购物料记录，不虚构已确认参数</t>
        </is>
      </c>
      <c r="J74" s="2" t="inlineStr"/>
    </row>
    <row r="75" ht="58" customHeight="1">
      <c r="A75" s="2" t="inlineStr">
        <is>
          <t>R_VINP_TOP</t>
        </is>
      </c>
      <c r="B75" s="2" t="inlineStr">
        <is>
          <t>100kΩ / 0.1%</t>
        </is>
      </c>
      <c r="C75" s="2" t="inlineStr">
        <is>
          <t>R0805</t>
        </is>
      </c>
      <c r="D75" s="2" t="inlineStr">
        <is>
          <t>100kΩ，0.1%，≥0.125W</t>
        </is>
      </c>
      <c r="E75" s="2" t="inlineStr">
        <is>
          <t>0805</t>
        </is>
      </c>
      <c r="F75" s="2" t="n">
        <v>1</v>
      </c>
      <c r="G75" s="2" t="n">
        <v>1</v>
      </c>
      <c r="H75" s="2" t="inlineStr">
        <is>
          <t>精度/料号待核</t>
        </is>
      </c>
      <c r="I75" s="2" t="inlineStr">
        <is>
          <t>温漂未在源图固定；按实购物料记录，不虚构已确认参数</t>
        </is>
      </c>
      <c r="J75" s="2" t="inlineStr">
        <is>
          <t>预充后VIN分压上臂</t>
        </is>
      </c>
    </row>
    <row r="76" ht="58" customHeight="1">
      <c r="A76" s="2" t="inlineStr">
        <is>
          <t>R2</t>
        </is>
      </c>
      <c r="B76" s="2" t="inlineStr">
        <is>
          <t>10kΩ / 0.1%</t>
        </is>
      </c>
      <c r="C76" s="2" t="inlineStr">
        <is>
          <t>R0805</t>
        </is>
      </c>
      <c r="D76" s="2" t="inlineStr">
        <is>
          <t>10kΩ，0.1%，≥0.125W</t>
        </is>
      </c>
      <c r="E76" s="2" t="inlineStr">
        <is>
          <t>0805</t>
        </is>
      </c>
      <c r="F76" s="2" t="n">
        <v>1</v>
      </c>
      <c r="G76" s="2" t="n">
        <v>1</v>
      </c>
      <c r="H76" s="2" t="inlineStr">
        <is>
          <t>精度/料号待核</t>
        </is>
      </c>
      <c r="I76" s="2" t="inlineStr">
        <is>
          <t>共6只，与普通10kΩ区分</t>
        </is>
      </c>
      <c r="J76" s="2" t="inlineStr"/>
    </row>
    <row r="77" ht="58" customHeight="1">
      <c r="A77" s="2" t="inlineStr">
        <is>
          <t>R4</t>
        </is>
      </c>
      <c r="B77" s="2" t="inlineStr">
        <is>
          <t>10kΩ / 0.1%</t>
        </is>
      </c>
      <c r="C77" s="2" t="inlineStr">
        <is>
          <t>R0805</t>
        </is>
      </c>
      <c r="D77" s="2" t="inlineStr">
        <is>
          <t>10kΩ，0.1%，≥0.125W</t>
        </is>
      </c>
      <c r="E77" s="2" t="inlineStr">
        <is>
          <t>0805</t>
        </is>
      </c>
      <c r="F77" s="2" t="n">
        <v>1</v>
      </c>
      <c r="G77" s="2" t="n">
        <v>1</v>
      </c>
      <c r="H77" s="2" t="inlineStr">
        <is>
          <t>精度/料号待核</t>
        </is>
      </c>
      <c r="I77" s="2" t="inlineStr">
        <is>
          <t>共6只，与普通10kΩ区分</t>
        </is>
      </c>
      <c r="J77" s="2" t="inlineStr"/>
    </row>
    <row r="78" ht="58" customHeight="1">
      <c r="A78" s="2" t="inlineStr">
        <is>
          <t>R9</t>
        </is>
      </c>
      <c r="B78" s="2" t="inlineStr">
        <is>
          <t>10kΩ / 0.1%</t>
        </is>
      </c>
      <c r="C78" s="2" t="inlineStr">
        <is>
          <t>R0805</t>
        </is>
      </c>
      <c r="D78" s="2" t="inlineStr">
        <is>
          <t>10kΩ，0.1%，≥0.125W</t>
        </is>
      </c>
      <c r="E78" s="2" t="inlineStr">
        <is>
          <t>0805</t>
        </is>
      </c>
      <c r="F78" s="2" t="n">
        <v>1</v>
      </c>
      <c r="G78" s="2" t="n">
        <v>1</v>
      </c>
      <c r="H78" s="2" t="inlineStr">
        <is>
          <t>精度/料号待核</t>
        </is>
      </c>
      <c r="I78" s="2" t="inlineStr">
        <is>
          <t>共6只，与普通10kΩ区分</t>
        </is>
      </c>
      <c r="J78" s="2" t="inlineStr"/>
    </row>
    <row r="79" ht="58" customHeight="1">
      <c r="A79" s="2" t="inlineStr">
        <is>
          <t>R16</t>
        </is>
      </c>
      <c r="B79" s="2" t="inlineStr">
        <is>
          <t>10kΩ / 0.1%</t>
        </is>
      </c>
      <c r="C79" s="2" t="inlineStr">
        <is>
          <t>R0805</t>
        </is>
      </c>
      <c r="D79" s="2" t="inlineStr">
        <is>
          <t>10kΩ，0.1%，≥0.125W</t>
        </is>
      </c>
      <c r="E79" s="2" t="inlineStr">
        <is>
          <t>0805</t>
        </is>
      </c>
      <c r="F79" s="2" t="n">
        <v>1</v>
      </c>
      <c r="G79" s="2" t="n">
        <v>1</v>
      </c>
      <c r="H79" s="2" t="inlineStr">
        <is>
          <t>精度/料号待核</t>
        </is>
      </c>
      <c r="I79" s="2" t="inlineStr">
        <is>
          <t>共6只，与普通10kΩ区分</t>
        </is>
      </c>
      <c r="J79" s="2" t="inlineStr"/>
    </row>
    <row r="80" ht="58" customHeight="1">
      <c r="A80" s="2" t="inlineStr">
        <is>
          <t>R_IOUT_BOT</t>
        </is>
      </c>
      <c r="B80" s="2" t="inlineStr">
        <is>
          <t>10kΩ / 0.1%</t>
        </is>
      </c>
      <c r="C80" s="2" t="inlineStr">
        <is>
          <t>R0805</t>
        </is>
      </c>
      <c r="D80" s="2" t="inlineStr">
        <is>
          <t>10kΩ，0.1%，≥0.125W</t>
        </is>
      </c>
      <c r="E80" s="2" t="inlineStr">
        <is>
          <t>0805</t>
        </is>
      </c>
      <c r="F80" s="2" t="n">
        <v>1</v>
      </c>
      <c r="G80" s="2" t="n">
        <v>1</v>
      </c>
      <c r="H80" s="2" t="inlineStr">
        <is>
          <t>精度/料号待核</t>
        </is>
      </c>
      <c r="I80" s="2" t="inlineStr">
        <is>
          <t>共6只，与普通10kΩ区分</t>
        </is>
      </c>
      <c r="J80" s="2" t="inlineStr"/>
    </row>
    <row r="81" ht="58" customHeight="1">
      <c r="A81" s="2" t="inlineStr">
        <is>
          <t>R_VINP_BOT</t>
        </is>
      </c>
      <c r="B81" s="2" t="inlineStr">
        <is>
          <t>10kΩ / 0.1%</t>
        </is>
      </c>
      <c r="C81" s="2" t="inlineStr">
        <is>
          <t>R0805</t>
        </is>
      </c>
      <c r="D81" s="2" t="inlineStr">
        <is>
          <t>10kΩ，0.1%，≥0.125W</t>
        </is>
      </c>
      <c r="E81" s="2" t="inlineStr">
        <is>
          <t>0805</t>
        </is>
      </c>
      <c r="F81" s="2" t="n">
        <v>1</v>
      </c>
      <c r="G81" s="2" t="n">
        <v>1</v>
      </c>
      <c r="H81" s="2" t="inlineStr">
        <is>
          <t>精度/料号待核</t>
        </is>
      </c>
      <c r="I81" s="2" t="inlineStr">
        <is>
          <t>共6只，与普通10kΩ区分</t>
        </is>
      </c>
      <c r="J81" s="2" t="inlineStr">
        <is>
          <t>预充后VIN分压下臂</t>
        </is>
      </c>
    </row>
    <row r="82" ht="58" customHeight="1">
      <c r="A82" s="2" t="inlineStr">
        <is>
          <t>R5</t>
        </is>
      </c>
      <c r="B82" s="2" t="inlineStr">
        <is>
          <t>1kΩ / 0.1%</t>
        </is>
      </c>
      <c r="C82" s="2" t="inlineStr">
        <is>
          <t>R0805</t>
        </is>
      </c>
      <c r="D82" s="2" t="inlineStr">
        <is>
          <t>1kΩ，0.1%，≥0.125W</t>
        </is>
      </c>
      <c r="E82" s="2" t="inlineStr">
        <is>
          <t>0805</t>
        </is>
      </c>
      <c r="F82" s="2" t="n">
        <v>1</v>
      </c>
      <c r="G82" s="2" t="n">
        <v>1</v>
      </c>
      <c r="H82" s="2" t="inlineStr">
        <is>
          <t>精度/料号待核</t>
        </is>
      </c>
      <c r="I82" s="2" t="inlineStr">
        <is>
          <t>与普通1kΩ区分</t>
        </is>
      </c>
      <c r="J82" s="2" t="inlineStr"/>
    </row>
    <row r="83" ht="58" customHeight="1">
      <c r="A83" s="2" t="inlineStr">
        <is>
          <t>R10A</t>
        </is>
      </c>
      <c r="B83" s="2" t="inlineStr">
        <is>
          <t>49.9kΩ / 0.1%</t>
        </is>
      </c>
      <c r="C83" s="2" t="inlineStr">
        <is>
          <t>R0805</t>
        </is>
      </c>
      <c r="D83" s="2" t="inlineStr">
        <is>
          <t>49.9kΩ，0.1%，≥0.125W</t>
        </is>
      </c>
      <c r="E83" s="2" t="inlineStr">
        <is>
          <t>0805</t>
        </is>
      </c>
      <c r="F83" s="2" t="n">
        <v>1</v>
      </c>
      <c r="G83" s="2" t="n">
        <v>1</v>
      </c>
      <c r="H83" s="2" t="inlineStr">
        <is>
          <t>精度/料号待核</t>
        </is>
      </c>
      <c r="I83" s="2" t="inlineStr">
        <is>
          <t>保留49.9kΩ，不用近似值替代</t>
        </is>
      </c>
      <c r="J83" s="2" t="inlineStr"/>
    </row>
    <row r="84" ht="58" customHeight="1">
      <c r="A84" s="2" t="inlineStr">
        <is>
          <t>R15A</t>
        </is>
      </c>
      <c r="B84" s="2" t="inlineStr">
        <is>
          <t>49.9kΩ / 0.1%</t>
        </is>
      </c>
      <c r="C84" s="2" t="inlineStr">
        <is>
          <t>R0805</t>
        </is>
      </c>
      <c r="D84" s="2" t="inlineStr">
        <is>
          <t>49.9kΩ，0.1%，≥0.125W</t>
        </is>
      </c>
      <c r="E84" s="2" t="inlineStr">
        <is>
          <t>0805</t>
        </is>
      </c>
      <c r="F84" s="2" t="n">
        <v>1</v>
      </c>
      <c r="G84" s="2" t="n">
        <v>1</v>
      </c>
      <c r="H84" s="2" t="inlineStr">
        <is>
          <t>精度/料号待核</t>
        </is>
      </c>
      <c r="I84" s="2" t="inlineStr">
        <is>
          <t>保留49.9kΩ，不用近似值替代</t>
        </is>
      </c>
      <c r="J84" s="2" t="inlineStr"/>
    </row>
    <row r="85" ht="58" customHeight="1">
      <c r="A85" s="2" t="inlineStr">
        <is>
          <t>R10B</t>
        </is>
      </c>
      <c r="B85" s="2" t="inlineStr">
        <is>
          <t>100Ω / 0.1%</t>
        </is>
      </c>
      <c r="C85" s="2" t="inlineStr">
        <is>
          <t>R0805</t>
        </is>
      </c>
      <c r="D85" s="2" t="inlineStr">
        <is>
          <t>100Ω，0.1%，≥0.125W</t>
        </is>
      </c>
      <c r="E85" s="2" t="inlineStr">
        <is>
          <t>0805</t>
        </is>
      </c>
      <c r="F85" s="2" t="n">
        <v>1</v>
      </c>
      <c r="G85" s="2" t="n">
        <v>1</v>
      </c>
      <c r="H85" s="2" t="inlineStr">
        <is>
          <t>精度/料号待核</t>
        </is>
      </c>
      <c r="I85" s="2" t="inlineStr">
        <is>
          <t>共2只，与R_PWM分开</t>
        </is>
      </c>
      <c r="J85" s="2" t="inlineStr"/>
    </row>
    <row r="86" ht="58" customHeight="1">
      <c r="A86" s="2" t="inlineStr">
        <is>
          <t>R15B</t>
        </is>
      </c>
      <c r="B86" s="2" t="inlineStr">
        <is>
          <t>100Ω / 0.1%</t>
        </is>
      </c>
      <c r="C86" s="2" t="inlineStr">
        <is>
          <t>R0805</t>
        </is>
      </c>
      <c r="D86" s="2" t="inlineStr">
        <is>
          <t>100Ω，0.1%，≥0.125W</t>
        </is>
      </c>
      <c r="E86" s="2" t="inlineStr">
        <is>
          <t>0805</t>
        </is>
      </c>
      <c r="F86" s="2" t="n">
        <v>1</v>
      </c>
      <c r="G86" s="2" t="n">
        <v>1</v>
      </c>
      <c r="H86" s="2" t="inlineStr">
        <is>
          <t>精度/料号待核</t>
        </is>
      </c>
      <c r="I86" s="2" t="inlineStr">
        <is>
          <t>共2只，与R_PWM分开</t>
        </is>
      </c>
      <c r="J86" s="2" t="inlineStr"/>
    </row>
    <row r="87" ht="58" customHeight="1">
      <c r="A87" s="2" t="inlineStr">
        <is>
          <t>R_IOUT_TOP</t>
        </is>
      </c>
      <c r="B87" s="2" t="inlineStr">
        <is>
          <t>20kΩ / 0.1%</t>
        </is>
      </c>
      <c r="C87" s="2" t="inlineStr">
        <is>
          <t>R0805</t>
        </is>
      </c>
      <c r="D87" s="2" t="inlineStr">
        <is>
          <t>20kΩ，0.1%，≥0.125W</t>
        </is>
      </c>
      <c r="E87" s="2" t="inlineStr">
        <is>
          <t>0805</t>
        </is>
      </c>
      <c r="F87" s="2" t="n">
        <v>1</v>
      </c>
      <c r="G87" s="2" t="n">
        <v>1</v>
      </c>
      <c r="H87" s="2" t="inlineStr">
        <is>
          <t>精度/料号待核</t>
        </is>
      </c>
      <c r="I87" s="2" t="inlineStr">
        <is>
          <t>输出告警参考上臂</t>
        </is>
      </c>
      <c r="J87" s="2" t="inlineStr"/>
    </row>
    <row r="88" ht="58" customHeight="1">
      <c r="A88" s="2" t="inlineStr">
        <is>
          <t>R_BL</t>
        </is>
      </c>
      <c r="B88" s="2" t="inlineStr">
        <is>
          <t>2.2kΩ / 0.25W</t>
        </is>
      </c>
      <c r="C88" s="2" t="inlineStr">
        <is>
          <t>R1206</t>
        </is>
      </c>
      <c r="D88" s="2" t="inlineStr">
        <is>
          <t>2.2kΩ，≥0.25W</t>
        </is>
      </c>
      <c r="E88" s="2" t="inlineStr">
        <is>
          <t>1206</t>
        </is>
      </c>
      <c r="F88" s="2" t="n">
        <v>1</v>
      </c>
      <c r="G88" s="2" t="n">
        <v>1</v>
      </c>
      <c r="H88" s="2" t="inlineStr">
        <is>
          <t>功率/料号待核</t>
        </is>
      </c>
      <c r="I88" s="2" t="inlineStr">
        <is>
          <t>确认实物额定功率，不能买成普通0805</t>
        </is>
      </c>
      <c r="J88" s="2" t="inlineStr"/>
    </row>
    <row r="89" ht="58" customHeight="1">
      <c r="A89" s="2" t="inlineStr">
        <is>
          <t>R_SN</t>
        </is>
      </c>
      <c r="B89" s="2" t="inlineStr">
        <is>
          <t>10Ω / 0.25W / DNP</t>
        </is>
      </c>
      <c r="C89" s="2" t="inlineStr">
        <is>
          <t>R1206</t>
        </is>
      </c>
      <c r="D89" s="2" t="inlineStr">
        <is>
          <t>10Ω，≥0.25W，DNP</t>
        </is>
      </c>
      <c r="E89" s="2" t="inlineStr">
        <is>
          <t>1206</t>
        </is>
      </c>
      <c r="F89" s="2" t="n">
        <v>1</v>
      </c>
      <c r="G89" s="2" t="n">
        <v>0</v>
      </c>
      <c r="H89" s="2" t="inlineStr">
        <is>
          <t>DNP，默认不装</t>
        </is>
      </c>
      <c r="I89" s="2" t="inlineStr">
        <is>
          <t>与C_SN配套；由旧0805占位改1206</t>
        </is>
      </c>
      <c r="J89" s="2" t="inlineStr">
        <is>
          <t>DNP；10Ω≥0.25W，改1206以匹配功率要求；实购功率仍需核对</t>
        </is>
      </c>
    </row>
    <row r="90" ht="58" customHeight="1">
      <c r="A90" s="2" t="inlineStr">
        <is>
          <t>D1</t>
        </is>
      </c>
      <c r="B90" s="2" t="inlineStr">
        <is>
          <t>SR560 / 60V / 5A</t>
        </is>
      </c>
      <c r="C90" s="2" t="inlineStr">
        <is>
          <t>SMB_DO214AA</t>
        </is>
      </c>
      <c r="D90" s="2" t="inlineStr">
        <is>
          <t>SR560，目标60V/5A（用户选型）</t>
        </is>
      </c>
      <c r="E90" s="2" t="inlineStr">
        <is>
          <t>SMB / DO-214AA，贴片</t>
        </is>
      </c>
      <c r="F90" s="2" t="n">
        <v>1</v>
      </c>
      <c r="G90" s="2" t="n">
        <v>1</v>
      </c>
      <c r="H90" s="2" t="inlineStr">
        <is>
          <t>用户已确认SMB；厂家资料待最终复核</t>
        </is>
      </c>
      <c r="I90" s="2" t="inlineStr">
        <is>
          <t>共2只；1=K色条端、2=A。沿用原SMB焊盘；SR560为用户确认选型，原轴向目录不作为SMB厂家尺寸/电气手册；完整订货型号/额定条件/推荐焊盘待归档</t>
        </is>
      </c>
      <c r="J90" s="2" t="inlineStr">
        <is>
          <t>用户明确SR560贴片、SMB（DO-214AA）；沿用现有SMB焊盘和位置；1=K色条端接V_SHUNT_IN、2=A接IN_PRE；厂家完整料号、额定条件及推荐焊盘最终复核待归档，不采用DO-201AD轴向目录尺寸</t>
        </is>
      </c>
    </row>
    <row r="91" ht="58" customHeight="1">
      <c r="A91" s="2" t="inlineStr">
        <is>
          <t>D_FREE</t>
        </is>
      </c>
      <c r="B91" s="2" t="inlineStr">
        <is>
          <t>SR560 / 60V / 5A</t>
        </is>
      </c>
      <c r="C91" s="2" t="inlineStr">
        <is>
          <t>SMB_DO214AA</t>
        </is>
      </c>
      <c r="D91" s="2" t="inlineStr">
        <is>
          <t>SR560，目标60V/5A（用户选型）</t>
        </is>
      </c>
      <c r="E91" s="2" t="inlineStr">
        <is>
          <t>SMB / DO-214AA，贴片</t>
        </is>
      </c>
      <c r="F91" s="2" t="n">
        <v>1</v>
      </c>
      <c r="G91" s="2" t="n">
        <v>1</v>
      </c>
      <c r="H91" s="2" t="inlineStr">
        <is>
          <t>用户已确认SMB；厂家资料待最终复核</t>
        </is>
      </c>
      <c r="I91" s="2" t="inlineStr">
        <is>
          <t>共2只；1=K色条端、2=A。沿用原SMB焊盘；SR560为用户确认选型，原轴向目录不作为SMB厂家尺寸/电气手册；完整订货型号/额定条件/推荐焊盘待归档</t>
        </is>
      </c>
      <c r="J91" s="2" t="inlineStr">
        <is>
          <t>用户明确与D1均SR560贴片、SMB（DO-214AA）；沿用现有SMB焊盘和位置；1=K色条端接SW、2=A接GND；厂家电气/热条件及推荐焊盘最终复核待归档</t>
        </is>
      </c>
    </row>
    <row r="92" ht="58" customHeight="1">
      <c r="A92" s="2" t="inlineStr">
        <is>
          <t>D_BOOT</t>
        </is>
      </c>
      <c r="B92" s="2" t="inlineStr">
        <is>
          <t>UF4007</t>
        </is>
      </c>
      <c r="C92" s="2" t="inlineStr">
        <is>
          <t>DO41_P10.16</t>
        </is>
      </c>
      <c r="D92" s="2" t="inlineStr">
        <is>
          <t>UF4007，快恢复</t>
        </is>
      </c>
      <c r="E92" s="2" t="inlineStr">
        <is>
          <t>DO-41，成型P10.16待核</t>
        </is>
      </c>
      <c r="F92" s="2" t="n">
        <v>1</v>
      </c>
      <c r="G92" s="2" t="n">
        <v>1</v>
      </c>
      <c r="H92" s="2" t="inlineStr">
        <is>
          <t>成型脚距待核</t>
        </is>
      </c>
      <c r="I92" s="2" t="inlineStr">
        <is>
          <t>工程定义1=A、2=K；不是普通1N4007</t>
        </is>
      </c>
      <c r="J92" s="2" t="inlineStr">
        <is>
          <t>自定义符号/封装：1=A，2=K</t>
        </is>
      </c>
    </row>
    <row r="93" ht="58" customHeight="1">
      <c r="A93" s="2" t="inlineStr">
        <is>
          <t>D_ADC1</t>
        </is>
      </c>
      <c r="B93" s="2" t="inlineStr">
        <is>
          <t>BAT54S</t>
        </is>
      </c>
      <c r="C93" s="2" t="inlineStr">
        <is>
          <t>SOT23_3</t>
        </is>
      </c>
      <c r="D93" s="2" t="inlineStr">
        <is>
          <t>BAT54S，串联双肖特基</t>
        </is>
      </c>
      <c r="E93" s="2" t="inlineStr">
        <is>
          <t>SOT-23</t>
        </is>
      </c>
      <c r="F93" s="2" t="n">
        <v>1</v>
      </c>
      <c r="G93" s="2" t="n">
        <v>1</v>
      </c>
      <c r="H93" s="2" t="inlineStr">
        <is>
          <t>核对已购物料</t>
        </is>
      </c>
      <c r="I93" s="2" t="inlineStr">
        <is>
          <t>共6只；1=A1、2=K2、3=K1/A2；不能装BAT54/BAT54C</t>
        </is>
      </c>
      <c r="J93" s="2" t="inlineStr">
        <is>
          <t>1=A1，2=K2，3=K1/A2；必须用BAT54S串联双二极管</t>
        </is>
      </c>
    </row>
    <row r="94" ht="58" customHeight="1">
      <c r="A94" s="2" t="inlineStr">
        <is>
          <t>D_ADC2</t>
        </is>
      </c>
      <c r="B94" s="2" t="inlineStr">
        <is>
          <t>BAT54S</t>
        </is>
      </c>
      <c r="C94" s="2" t="inlineStr">
        <is>
          <t>SOT23_3</t>
        </is>
      </c>
      <c r="D94" s="2" t="inlineStr">
        <is>
          <t>BAT54S，串联双肖特基</t>
        </is>
      </c>
      <c r="E94" s="2" t="inlineStr">
        <is>
          <t>SOT-23</t>
        </is>
      </c>
      <c r="F94" s="2" t="n">
        <v>1</v>
      </c>
      <c r="G94" s="2" t="n">
        <v>1</v>
      </c>
      <c r="H94" s="2" t="inlineStr">
        <is>
          <t>核对已购物料</t>
        </is>
      </c>
      <c r="I94" s="2" t="inlineStr">
        <is>
          <t>共6只；1=A1、2=K2、3=K1/A2；不能装BAT54/BAT54C</t>
        </is>
      </c>
      <c r="J94" s="2" t="inlineStr">
        <is>
          <t>1=A1，2=K2，3=K1/A2；必须用BAT54S串联双二极管</t>
        </is>
      </c>
    </row>
    <row r="95" ht="58" customHeight="1">
      <c r="A95" s="2" t="inlineStr">
        <is>
          <t>D_ADC3</t>
        </is>
      </c>
      <c r="B95" s="2" t="inlineStr">
        <is>
          <t>BAT54S</t>
        </is>
      </c>
      <c r="C95" s="2" t="inlineStr">
        <is>
          <t>SOT23_3</t>
        </is>
      </c>
      <c r="D95" s="2" t="inlineStr">
        <is>
          <t>BAT54S，串联双肖特基</t>
        </is>
      </c>
      <c r="E95" s="2" t="inlineStr">
        <is>
          <t>SOT-23</t>
        </is>
      </c>
      <c r="F95" s="2" t="n">
        <v>1</v>
      </c>
      <c r="G95" s="2" t="n">
        <v>1</v>
      </c>
      <c r="H95" s="2" t="inlineStr">
        <is>
          <t>核对已购物料</t>
        </is>
      </c>
      <c r="I95" s="2" t="inlineStr">
        <is>
          <t>共6只；1=A1、2=K2、3=K1/A2；不能装BAT54/BAT54C</t>
        </is>
      </c>
      <c r="J95" s="2" t="inlineStr">
        <is>
          <t>1=A1，2=K2，3=K1/A2；必须用BAT54S串联双二极管</t>
        </is>
      </c>
    </row>
    <row r="96" ht="58" customHeight="1">
      <c r="A96" s="2" t="inlineStr">
        <is>
          <t>D_ADC4</t>
        </is>
      </c>
      <c r="B96" s="2" t="inlineStr">
        <is>
          <t>BAT54S</t>
        </is>
      </c>
      <c r="C96" s="2" t="inlineStr">
        <is>
          <t>SOT23_3</t>
        </is>
      </c>
      <c r="D96" s="2" t="inlineStr">
        <is>
          <t>BAT54S，串联双肖特基</t>
        </is>
      </c>
      <c r="E96" s="2" t="inlineStr">
        <is>
          <t>SOT-23</t>
        </is>
      </c>
      <c r="F96" s="2" t="n">
        <v>1</v>
      </c>
      <c r="G96" s="2" t="n">
        <v>1</v>
      </c>
      <c r="H96" s="2" t="inlineStr">
        <is>
          <t>核对已购物料</t>
        </is>
      </c>
      <c r="I96" s="2" t="inlineStr">
        <is>
          <t>共6只；1=A1、2=K2、3=K1/A2；不能装BAT54/BAT54C</t>
        </is>
      </c>
      <c r="J96" s="2" t="inlineStr">
        <is>
          <t>1=A1，2=K2，3=K1/A2；必须用BAT54S串联双二极管</t>
        </is>
      </c>
    </row>
    <row r="97" ht="58" customHeight="1">
      <c r="A97" s="2" t="inlineStr">
        <is>
          <t>D_ADC5</t>
        </is>
      </c>
      <c r="B97" s="2" t="inlineStr">
        <is>
          <t>BAT54S</t>
        </is>
      </c>
      <c r="C97" s="2" t="inlineStr">
        <is>
          <t>SOT23_3</t>
        </is>
      </c>
      <c r="D97" s="2" t="inlineStr">
        <is>
          <t>BAT54S，串联双肖特基</t>
        </is>
      </c>
      <c r="E97" s="2" t="inlineStr">
        <is>
          <t>SOT-23</t>
        </is>
      </c>
      <c r="F97" s="2" t="n">
        <v>1</v>
      </c>
      <c r="G97" s="2" t="n">
        <v>1</v>
      </c>
      <c r="H97" s="2" t="inlineStr">
        <is>
          <t>核对已购物料</t>
        </is>
      </c>
      <c r="I97" s="2" t="inlineStr">
        <is>
          <t>共6只；1=A1、2=K2、3=K1/A2；不能装BAT54/BAT54C</t>
        </is>
      </c>
      <c r="J97" s="2" t="inlineStr">
        <is>
          <t>1=A1，2=K2，3=K1/A2；必须用BAT54S串联双二极管</t>
        </is>
      </c>
    </row>
    <row r="98" ht="58" customHeight="1">
      <c r="A98" s="2" t="inlineStr">
        <is>
          <t>D_ADC6</t>
        </is>
      </c>
      <c r="B98" s="2" t="inlineStr">
        <is>
          <t>BAT54S</t>
        </is>
      </c>
      <c r="C98" s="2" t="inlineStr">
        <is>
          <t>SOT23_3</t>
        </is>
      </c>
      <c r="D98" s="2" t="inlineStr">
        <is>
          <t>BAT54S，串联双肖特基</t>
        </is>
      </c>
      <c r="E98" s="2" t="inlineStr">
        <is>
          <t>SOT-23</t>
        </is>
      </c>
      <c r="F98" s="2" t="n">
        <v>1</v>
      </c>
      <c r="G98" s="2" t="n">
        <v>1</v>
      </c>
      <c r="H98" s="2" t="inlineStr">
        <is>
          <t>核对已购物料</t>
        </is>
      </c>
      <c r="I98" s="2" t="inlineStr">
        <is>
          <t>共6只；1=A1、2=K2、3=K1/A2；不能装BAT54/BAT54C</t>
        </is>
      </c>
      <c r="J98" s="2" t="inlineStr">
        <is>
          <t>1=A1，2=K2，3=K1/A2；串联双二极管钳位</t>
        </is>
      </c>
    </row>
    <row r="99" ht="58" customHeight="1">
      <c r="A99" s="2" t="inlineStr">
        <is>
          <t>D_POR</t>
        </is>
      </c>
      <c r="B99" s="2" t="inlineStr">
        <is>
          <t>BAT54</t>
        </is>
      </c>
      <c r="C99" s="2" t="inlineStr">
        <is>
          <t>SOT23_3</t>
        </is>
      </c>
      <c r="D99" s="2" t="inlineStr">
        <is>
          <t>BAT54，单肖特基</t>
        </is>
      </c>
      <c r="E99" s="2" t="inlineStr">
        <is>
          <t>SOT-23</t>
        </is>
      </c>
      <c r="F99" s="2" t="n">
        <v>1</v>
      </c>
      <c r="G99" s="2" t="n">
        <v>1</v>
      </c>
      <c r="H99" s="2" t="inlineStr">
        <is>
          <t>核对已购物料</t>
        </is>
      </c>
      <c r="I99" s="2" t="inlineStr">
        <is>
          <t>1=A、3=K、2=NC；不能与BAT54S混装</t>
        </is>
      </c>
      <c r="J99" s="2" t="inlineStr">
        <is>
          <t>1=A，3=K，2=NC；与BAT54S不混用</t>
        </is>
      </c>
    </row>
    <row r="100" ht="58" customHeight="1">
      <c r="A100" s="2" t="inlineStr">
        <is>
          <t>F1</t>
        </is>
      </c>
      <c r="B100" s="2" t="inlineStr">
        <is>
          <t>2A / 5x20 FAST</t>
        </is>
      </c>
      <c r="C100" s="2" t="inlineStr">
        <is>
          <t>FUSE_5X20_CLIP_P5p66_ASM15_TBD</t>
        </is>
      </c>
      <c r="D100" s="2" t="inlineStr">
        <is>
          <t>2A快断保险管，5×20mm，商品标250V</t>
        </is>
      </c>
      <c r="E100" s="2" t="inlineStr">
        <is>
          <t>配5×20mm管夹</t>
        </is>
      </c>
      <c r="F100" s="2" t="n">
        <v>1</v>
      </c>
      <c r="G100" s="2" t="n">
        <v>1</v>
      </c>
      <c r="H100" s="2" t="inlineStr">
        <is>
          <t>尺寸/快断已给资料；实际电气性能待核</t>
        </is>
      </c>
      <c r="I100" s="2" t="inlineStr">
        <is>
          <t>商品BXG16519；250V未注明AC/DC分断条件，启动不误熔断与故障分断待验证；管夹另列2只</t>
        </is>
      </c>
      <c r="J100" s="2" t="inlineStr">
        <is>
          <t>最新选型5×20mm、2A快断保险管（商品标250V）；5×20黄铜镀镍夹2只，脚宽1.1/厚0.5/用户确认单夹P5.66；槽0.9×1.5为设计值；两夹中心距15仅试装初值，需验证端帽接触和止挡；旧6×30/7.7作废，禁止直接制板</t>
        </is>
      </c>
    </row>
    <row r="101" ht="58" customHeight="1">
      <c r="A101" s="2" t="inlineStr">
        <is>
          <t>J1</t>
        </is>
      </c>
      <c r="B101" s="2" t="inlineStr">
        <is>
          <t>2P POWER</t>
        </is>
      </c>
      <c r="C101" s="2" t="inlineStr">
        <is>
          <t>TERM_2.54_2P</t>
        </is>
      </c>
      <c r="D101" s="2" t="inlineStr">
        <is>
          <t>2P接线端子，P2.54，≥3A</t>
        </is>
      </c>
      <c r="E101" s="2" t="inlineStr">
        <is>
          <t>图示5.48×6.30×8.80mm；孔1.30</t>
        </is>
      </c>
      <c r="F101" s="2" t="n">
        <v>1</v>
      </c>
      <c r="G101" s="2" t="n">
        <v>1</v>
      </c>
      <c r="H101" s="2" t="inlineStr">
        <is>
          <t>完整型号/朝向待核</t>
        </is>
      </c>
      <c r="I101" s="2" t="inlineStr">
        <is>
          <t>共4只；照片标称6A/150V；J_BYP是接口，不包含外接开关</t>
        </is>
      </c>
      <c r="J101" s="2" t="inlineStr">
        <is>
          <t>2.54mm 2P；5.48×6.3×8.8mm；孔径1.3mm来自图；供应商标称6A/150V</t>
        </is>
      </c>
    </row>
    <row r="102" ht="58" customHeight="1">
      <c r="A102" s="2" t="inlineStr">
        <is>
          <t>J2</t>
        </is>
      </c>
      <c r="B102" s="2" t="inlineStr">
        <is>
          <t>2P POWER</t>
        </is>
      </c>
      <c r="C102" s="2" t="inlineStr">
        <is>
          <t>TERM_2.54_2P</t>
        </is>
      </c>
      <c r="D102" s="2" t="inlineStr">
        <is>
          <t>2P接线端子，P2.54，≥3A</t>
        </is>
      </c>
      <c r="E102" s="2" t="inlineStr">
        <is>
          <t>图示5.48×6.30×8.80mm；孔1.30</t>
        </is>
      </c>
      <c r="F102" s="2" t="n">
        <v>1</v>
      </c>
      <c r="G102" s="2" t="n">
        <v>1</v>
      </c>
      <c r="H102" s="2" t="inlineStr">
        <is>
          <t>完整型号/朝向待核</t>
        </is>
      </c>
      <c r="I102" s="2" t="inlineStr">
        <is>
          <t>共4只；照片标称6A/150V；J_BYP是接口，不包含外接开关</t>
        </is>
      </c>
      <c r="J102" s="2" t="inlineStr">
        <is>
          <t>2.54mm 2P；进线朝板外；1=VOUT，2=GND</t>
        </is>
      </c>
    </row>
    <row r="103" ht="58" customHeight="1">
      <c r="A103" s="2" t="inlineStr">
        <is>
          <t>J_BYP</t>
        </is>
      </c>
      <c r="B103" s="2" t="inlineStr">
        <is>
          <t>SPST旁路接口 ≥30VDC/3A</t>
        </is>
      </c>
      <c r="C103" s="2" t="inlineStr">
        <is>
          <t>TERM_2.54_2P</t>
        </is>
      </c>
      <c r="D103" s="2" t="inlineStr">
        <is>
          <t>2P接线端子，P2.54，≥3A</t>
        </is>
      </c>
      <c r="E103" s="2" t="inlineStr">
        <is>
          <t>图示5.48×6.30×8.80mm；孔1.30</t>
        </is>
      </c>
      <c r="F103" s="2" t="n">
        <v>1</v>
      </c>
      <c r="G103" s="2" t="n">
        <v>1</v>
      </c>
      <c r="H103" s="2" t="inlineStr">
        <is>
          <t>完整型号/朝向待核</t>
        </is>
      </c>
      <c r="I103" s="2" t="inlineStr">
        <is>
          <t>共4只；照片标称6A/150V；J_BYP是接口，不包含外接开关</t>
        </is>
      </c>
      <c r="J103" s="2" t="inlineStr">
        <is>
          <t>2.54mm 2P；外接常开旁路开关；开关额定≥30VDC/3A另核</t>
        </is>
      </c>
    </row>
    <row r="104" ht="58" customHeight="1">
      <c r="A104" s="2" t="inlineStr">
        <is>
          <t>J_MON</t>
        </is>
      </c>
      <c r="B104" s="2" t="inlineStr">
        <is>
          <t>2P VIN_POST ADC / PA6</t>
        </is>
      </c>
      <c r="C104" s="2" t="inlineStr">
        <is>
          <t>TERM_2.54_2P</t>
        </is>
      </c>
      <c r="D104" s="2" t="inlineStr">
        <is>
          <t>2P接线端子，P2.54，≥3A</t>
        </is>
      </c>
      <c r="E104" s="2" t="inlineStr">
        <is>
          <t>图示5.48×6.30×8.80mm；孔1.30</t>
        </is>
      </c>
      <c r="F104" s="2" t="n">
        <v>1</v>
      </c>
      <c r="G104" s="2" t="n">
        <v>1</v>
      </c>
      <c r="H104" s="2" t="inlineStr">
        <is>
          <t>完整型号/朝向待核</t>
        </is>
      </c>
      <c r="I104" s="2" t="inlineStr">
        <is>
          <t>共4只；照片标称6A/150V；J_BYP是接口，不包含外接开关</t>
        </is>
      </c>
      <c r="J104" s="2" t="inlineStr">
        <is>
          <t>2.54mm 2P；1=ADC_VIN_POST→PA6，2=GND；PA5保留LCD SCK</t>
        </is>
      </c>
    </row>
    <row r="105" ht="58" customHeight="1">
      <c r="A105" s="2" t="inlineStr">
        <is>
          <t>J_AUX12</t>
        </is>
      </c>
      <c r="B105" s="2" t="inlineStr">
        <is>
          <t>VIN→12V &gt;=0.2A</t>
        </is>
      </c>
      <c r="C105" s="2" t="inlineStr">
        <is>
          <t>HDR_1X4_2.54</t>
        </is>
      </c>
      <c r="D105" s="2" t="inlineStr">
        <is>
          <t>1×4直排针，P2.54</t>
        </is>
      </c>
      <c r="E105" s="2" t="inlineStr">
        <is>
          <t>直插，针长/塑高待核</t>
        </is>
      </c>
      <c r="F105" s="2" t="n">
        <v>1</v>
      </c>
      <c r="G105" s="2" t="n">
        <v>1</v>
      </c>
      <c r="H105" s="2" t="inlineStr">
        <is>
          <t>配对件待核</t>
        </is>
      </c>
      <c r="I105" s="2" t="inlineStr">
        <is>
          <t>共2只；与LM2596HV通过排线相接，不直接按四角焊盘插装</t>
        </is>
      </c>
      <c r="J105" s="2" t="inlineStr">
        <is>
          <t>M1必须为低静态功耗开关降压模块；输入15–25V、输出12V；计入整机输入功率</t>
        </is>
      </c>
    </row>
    <row r="106" ht="58" customHeight="1">
      <c r="A106" s="2" t="inlineStr">
        <is>
          <t>J_AUX5</t>
        </is>
      </c>
      <c r="B106" s="2" t="inlineStr">
        <is>
          <t>VIN→5V &gt;=0.5A</t>
        </is>
      </c>
      <c r="C106" s="2" t="inlineStr">
        <is>
          <t>HDR_1X4_2.54</t>
        </is>
      </c>
      <c r="D106" s="2" t="inlineStr">
        <is>
          <t>1×4直排针，P2.54</t>
        </is>
      </c>
      <c r="E106" s="2" t="inlineStr">
        <is>
          <t>直插，针长/塑高待核</t>
        </is>
      </c>
      <c r="F106" s="2" t="n">
        <v>1</v>
      </c>
      <c r="G106" s="2" t="n">
        <v>1</v>
      </c>
      <c r="H106" s="2" t="inlineStr">
        <is>
          <t>配对件待核</t>
        </is>
      </c>
      <c r="I106" s="2" t="inlineStr">
        <is>
          <t>共2只；与LM2596HV通过排线相接，不直接按四角焊盘插装</t>
        </is>
      </c>
      <c r="J106" s="2" t="inlineStr">
        <is>
          <t>M2必须为开关降压模块，禁止7805等线性替代；输入15–25V，输出5V；计入整机输入功率</t>
        </is>
      </c>
    </row>
    <row r="107" ht="58" customHeight="1">
      <c r="A107" s="2" t="inlineStr">
        <is>
          <t>J_CTL</t>
        </is>
      </c>
      <c r="B107" s="2" t="inlineStr">
        <is>
          <t>STM32 CONTROL 2x8</t>
        </is>
      </c>
      <c r="C107" s="2" t="inlineStr">
        <is>
          <t>HDR_2X8_2.54</t>
        </is>
      </c>
      <c r="D107" s="2" t="inlineStr">
        <is>
          <t>2×8排针，P2.54</t>
        </is>
      </c>
      <c r="E107" s="2" t="inlineStr">
        <is>
          <t>直插；配对高度待核</t>
        </is>
      </c>
      <c r="F107" s="2" t="n">
        <v>1</v>
      </c>
      <c r="G107" s="2" t="n">
        <v>1</v>
      </c>
      <c r="H107" s="2" t="inlineStr">
        <is>
          <t>配对件待核</t>
        </is>
      </c>
      <c r="I107" s="2" t="inlineStr">
        <is>
          <t>1只，16针；PA6监测走独立J_MON，不占此16针</t>
        </is>
      </c>
      <c r="J107" s="2" t="inlineStr">
        <is>
          <t>pin6由GND改IOUT_OC_N，外接STM32 PB11/EXTI11；旧排线/控制板必须同步改线</t>
        </is>
      </c>
    </row>
    <row r="108" ht="58" customHeight="1">
      <c r="A108" s="2" t="inlineStr">
        <is>
          <t>TP1</t>
        </is>
      </c>
      <c r="B108" s="2" t="inlineStr">
        <is>
          <t>VIN_EXT</t>
        </is>
      </c>
      <c r="C108" s="2" t="inlineStr">
        <is>
          <t>TP_D1.5</t>
        </is>
      </c>
      <c r="D108" s="2" t="inlineStr">
        <is>
          <t>裸铜测试焊盘，直径1.5mm</t>
        </is>
      </c>
      <c r="E108" s="2" t="inlineStr">
        <is>
          <t>PCB焊盘；默认不买测试柱</t>
        </is>
      </c>
      <c r="F108" s="2" t="n">
        <v>1</v>
      </c>
      <c r="G108" s="2" t="n">
        <v>0</v>
      </c>
      <c r="H108" s="2" t="inlineStr">
        <is>
          <t>默认无需采购</t>
        </is>
      </c>
      <c r="I108" s="2" t="inlineStr">
        <is>
          <t>14个设计测试点，实物采购数量为0；若改测试柱需同步封装</t>
        </is>
      </c>
      <c r="J108" s="2" t="inlineStr">
        <is>
          <t>SMD测试点；探针和夹具兼容性待确认</t>
        </is>
      </c>
    </row>
    <row r="109" ht="58" customHeight="1">
      <c r="A109" s="2" t="inlineStr">
        <is>
          <t>TP2</t>
        </is>
      </c>
      <c r="B109" s="2" t="inlineStr">
        <is>
          <t>VIN</t>
        </is>
      </c>
      <c r="C109" s="2" t="inlineStr">
        <is>
          <t>TP_D1.5</t>
        </is>
      </c>
      <c r="D109" s="2" t="inlineStr">
        <is>
          <t>裸铜测试焊盘，直径1.5mm</t>
        </is>
      </c>
      <c r="E109" s="2" t="inlineStr">
        <is>
          <t>PCB焊盘；默认不买测试柱</t>
        </is>
      </c>
      <c r="F109" s="2" t="n">
        <v>1</v>
      </c>
      <c r="G109" s="2" t="n">
        <v>0</v>
      </c>
      <c r="H109" s="2" t="inlineStr">
        <is>
          <t>默认无需采购</t>
        </is>
      </c>
      <c r="I109" s="2" t="inlineStr">
        <is>
          <t>14个设计测试点，实物采购数量为0；若改测试柱需同步封装</t>
        </is>
      </c>
      <c r="J109" s="2" t="inlineStr">
        <is>
          <t>SMD测试点；探针和夹具兼容性待确认</t>
        </is>
      </c>
    </row>
    <row r="110" ht="58" customHeight="1">
      <c r="A110" s="2" t="inlineStr">
        <is>
          <t>TP3</t>
        </is>
      </c>
      <c r="B110" s="2" t="inlineStr">
        <is>
          <t>SW</t>
        </is>
      </c>
      <c r="C110" s="2" t="inlineStr">
        <is>
          <t>TP_D1.5</t>
        </is>
      </c>
      <c r="D110" s="2" t="inlineStr">
        <is>
          <t>裸铜测试焊盘，直径1.5mm</t>
        </is>
      </c>
      <c r="E110" s="2" t="inlineStr">
        <is>
          <t>PCB焊盘；默认不买测试柱</t>
        </is>
      </c>
      <c r="F110" s="2" t="n">
        <v>1</v>
      </c>
      <c r="G110" s="2" t="n">
        <v>0</v>
      </c>
      <c r="H110" s="2" t="inlineStr">
        <is>
          <t>默认无需采购</t>
        </is>
      </c>
      <c r="I110" s="2" t="inlineStr">
        <is>
          <t>14个设计测试点，实物采购数量为0；若改测试柱需同步封装</t>
        </is>
      </c>
      <c r="J110" s="2" t="inlineStr">
        <is>
          <t>SMD测试点；探针和夹具兼容性待确认</t>
        </is>
      </c>
    </row>
    <row r="111" ht="58" customHeight="1">
      <c r="A111" s="2" t="inlineStr">
        <is>
          <t>TP4</t>
        </is>
      </c>
      <c r="B111" s="2" t="inlineStr">
        <is>
          <t>VOUT</t>
        </is>
      </c>
      <c r="C111" s="2" t="inlineStr">
        <is>
          <t>TP_D1.5</t>
        </is>
      </c>
      <c r="D111" s="2" t="inlineStr">
        <is>
          <t>裸铜测试焊盘，直径1.5mm</t>
        </is>
      </c>
      <c r="E111" s="2" t="inlineStr">
        <is>
          <t>PCB焊盘；默认不买测试柱</t>
        </is>
      </c>
      <c r="F111" s="2" t="n">
        <v>1</v>
      </c>
      <c r="G111" s="2" t="n">
        <v>0</v>
      </c>
      <c r="H111" s="2" t="inlineStr">
        <is>
          <t>默认无需采购</t>
        </is>
      </c>
      <c r="I111" s="2" t="inlineStr">
        <is>
          <t>14个设计测试点，实物采购数量为0；若改测试柱需同步封装</t>
        </is>
      </c>
      <c r="J111" s="2" t="inlineStr">
        <is>
          <t>SMD测试点；探针和夹具兼容性待确认</t>
        </is>
      </c>
    </row>
    <row r="112" ht="58" customHeight="1">
      <c r="A112" s="2" t="inlineStr">
        <is>
          <t>TP5</t>
        </is>
      </c>
      <c r="B112" s="2" t="inlineStr">
        <is>
          <t>GND</t>
        </is>
      </c>
      <c r="C112" s="2" t="inlineStr">
        <is>
          <t>TP_D1.5</t>
        </is>
      </c>
      <c r="D112" s="2" t="inlineStr">
        <is>
          <t>裸铜测试焊盘，直径1.5mm</t>
        </is>
      </c>
      <c r="E112" s="2" t="inlineStr">
        <is>
          <t>PCB焊盘；默认不买测试柱</t>
        </is>
      </c>
      <c r="F112" s="2" t="n">
        <v>1</v>
      </c>
      <c r="G112" s="2" t="n">
        <v>0</v>
      </c>
      <c r="H112" s="2" t="inlineStr">
        <is>
          <t>默认无需采购</t>
        </is>
      </c>
      <c r="I112" s="2" t="inlineStr">
        <is>
          <t>14个设计测试点，实物采购数量为0；若改测试柱需同步封装</t>
        </is>
      </c>
      <c r="J112" s="2" t="inlineStr">
        <is>
          <t>SMD测试点；探针和夹具兼容性待确认</t>
        </is>
      </c>
    </row>
    <row r="113" ht="58" customHeight="1">
      <c r="A113" s="2" t="inlineStr">
        <is>
          <t>TP6</t>
        </is>
      </c>
      <c r="B113" s="2" t="inlineStr">
        <is>
          <t>G_H</t>
        </is>
      </c>
      <c r="C113" s="2" t="inlineStr">
        <is>
          <t>TP_D1.5</t>
        </is>
      </c>
      <c r="D113" s="2" t="inlineStr">
        <is>
          <t>裸铜测试焊盘，直径1.5mm</t>
        </is>
      </c>
      <c r="E113" s="2" t="inlineStr">
        <is>
          <t>PCB焊盘；默认不买测试柱</t>
        </is>
      </c>
      <c r="F113" s="2" t="n">
        <v>1</v>
      </c>
      <c r="G113" s="2" t="n">
        <v>0</v>
      </c>
      <c r="H113" s="2" t="inlineStr">
        <is>
          <t>默认无需采购</t>
        </is>
      </c>
      <c r="I113" s="2" t="inlineStr">
        <is>
          <t>14个设计测试点，实物采购数量为0；若改测试柱需同步封装</t>
        </is>
      </c>
      <c r="J113" s="2" t="inlineStr">
        <is>
          <t>SMD测试点；探针和夹具兼容性待确认</t>
        </is>
      </c>
    </row>
    <row r="114" ht="58" customHeight="1">
      <c r="A114" s="2" t="inlineStr">
        <is>
          <t>TP7</t>
        </is>
      </c>
      <c r="B114" s="2" t="inlineStr">
        <is>
          <t>G_L</t>
        </is>
      </c>
      <c r="C114" s="2" t="inlineStr">
        <is>
          <t>TP_D1.5</t>
        </is>
      </c>
      <c r="D114" s="2" t="inlineStr">
        <is>
          <t>裸铜测试焊盘，直径1.5mm</t>
        </is>
      </c>
      <c r="E114" s="2" t="inlineStr">
        <is>
          <t>PCB焊盘；默认不买测试柱</t>
        </is>
      </c>
      <c r="F114" s="2" t="n">
        <v>1</v>
      </c>
      <c r="G114" s="2" t="n">
        <v>0</v>
      </c>
      <c r="H114" s="2" t="inlineStr">
        <is>
          <t>默认无需采购</t>
        </is>
      </c>
      <c r="I114" s="2" t="inlineStr">
        <is>
          <t>14个设计测试点，实物采购数量为0；若改测试柱需同步封装</t>
        </is>
      </c>
      <c r="J114" s="2" t="inlineStr">
        <is>
          <t>SMD测试点；探针和夹具兼容性待确认</t>
        </is>
      </c>
    </row>
    <row r="115" ht="58" customHeight="1">
      <c r="A115" s="2" t="inlineStr">
        <is>
          <t>TP8</t>
        </is>
      </c>
      <c r="B115" s="2" t="inlineStr">
        <is>
          <t>IL_BI</t>
        </is>
      </c>
      <c r="C115" s="2" t="inlineStr">
        <is>
          <t>TP_D1.5</t>
        </is>
      </c>
      <c r="D115" s="2" t="inlineStr">
        <is>
          <t>裸铜测试焊盘，直径1.5mm</t>
        </is>
      </c>
      <c r="E115" s="2" t="inlineStr">
        <is>
          <t>PCB焊盘；默认不买测试柱</t>
        </is>
      </c>
      <c r="F115" s="2" t="n">
        <v>1</v>
      </c>
      <c r="G115" s="2" t="n">
        <v>0</v>
      </c>
      <c r="H115" s="2" t="inlineStr">
        <is>
          <t>默认无需采购</t>
        </is>
      </c>
      <c r="I115" s="2" t="inlineStr">
        <is>
          <t>14个设计测试点，实物采购数量为0；若改测试柱需同步封装</t>
        </is>
      </c>
      <c r="J115" s="2" t="inlineStr">
        <is>
          <t>SMD测试点；探针和夹具兼容性待确认</t>
        </is>
      </c>
    </row>
    <row r="116" ht="58" customHeight="1">
      <c r="A116" s="2" t="inlineStr">
        <is>
          <t>TP9</t>
        </is>
      </c>
      <c r="B116" s="2" t="inlineStr">
        <is>
          <t>FAULT_N</t>
        </is>
      </c>
      <c r="C116" s="2" t="inlineStr">
        <is>
          <t>TP_D1.5</t>
        </is>
      </c>
      <c r="D116" s="2" t="inlineStr">
        <is>
          <t>裸铜测试焊盘，直径1.5mm</t>
        </is>
      </c>
      <c r="E116" s="2" t="inlineStr">
        <is>
          <t>PCB焊盘；默认不买测试柱</t>
        </is>
      </c>
      <c r="F116" s="2" t="n">
        <v>1</v>
      </c>
      <c r="G116" s="2" t="n">
        <v>0</v>
      </c>
      <c r="H116" s="2" t="inlineStr">
        <is>
          <t>默认无需采购</t>
        </is>
      </c>
      <c r="I116" s="2" t="inlineStr">
        <is>
          <t>14个设计测试点，实物采购数量为0；若改测试柱需同步封装</t>
        </is>
      </c>
      <c r="J116" s="2" t="inlineStr">
        <is>
          <t>SMD测试点；探针和夹具兼容性待确认</t>
        </is>
      </c>
    </row>
    <row r="117" ht="58" customHeight="1">
      <c r="A117" s="2" t="inlineStr">
        <is>
          <t>TP10</t>
        </is>
      </c>
      <c r="B117" s="2" t="inlineStr">
        <is>
          <t>+3V3_A</t>
        </is>
      </c>
      <c r="C117" s="2" t="inlineStr">
        <is>
          <t>TP_D1.5</t>
        </is>
      </c>
      <c r="D117" s="2" t="inlineStr">
        <is>
          <t>裸铜测试焊盘，直径1.5mm</t>
        </is>
      </c>
      <c r="E117" s="2" t="inlineStr">
        <is>
          <t>PCB焊盘；默认不买测试柱</t>
        </is>
      </c>
      <c r="F117" s="2" t="n">
        <v>1</v>
      </c>
      <c r="G117" s="2" t="n">
        <v>0</v>
      </c>
      <c r="H117" s="2" t="inlineStr">
        <is>
          <t>默认无需采购</t>
        </is>
      </c>
      <c r="I117" s="2" t="inlineStr">
        <is>
          <t>14个设计测试点，实物采购数量为0；若改测试柱需同步封装</t>
        </is>
      </c>
      <c r="J117" s="2" t="inlineStr">
        <is>
          <t>SMD测试点；探针和夹具兼容性待确认</t>
        </is>
      </c>
    </row>
    <row r="118" ht="58" customHeight="1">
      <c r="A118" s="2" t="inlineStr">
        <is>
          <t>TP11</t>
        </is>
      </c>
      <c r="B118" s="2" t="inlineStr">
        <is>
          <t>IOUT_RAW</t>
        </is>
      </c>
      <c r="C118" s="2" t="inlineStr">
        <is>
          <t>TP_D1.5</t>
        </is>
      </c>
      <c r="D118" s="2" t="inlineStr">
        <is>
          <t>裸铜测试焊盘，直径1.5mm</t>
        </is>
      </c>
      <c r="E118" s="2" t="inlineStr">
        <is>
          <t>PCB焊盘；默认不买测试柱</t>
        </is>
      </c>
      <c r="F118" s="2" t="n">
        <v>1</v>
      </c>
      <c r="G118" s="2" t="n">
        <v>0</v>
      </c>
      <c r="H118" s="2" t="inlineStr">
        <is>
          <t>默认无需采购</t>
        </is>
      </c>
      <c r="I118" s="2" t="inlineStr">
        <is>
          <t>14个设计测试点，实物采购数量为0；若改测试柱需同步封装</t>
        </is>
      </c>
      <c r="J118" s="2" t="inlineStr"/>
    </row>
    <row r="119" ht="58" customHeight="1">
      <c r="A119" s="2" t="inlineStr">
        <is>
          <t>TP12</t>
        </is>
      </c>
      <c r="B119" s="2" t="inlineStr">
        <is>
          <t>IL_PROT</t>
        </is>
      </c>
      <c r="C119" s="2" t="inlineStr">
        <is>
          <t>TP_D1.5</t>
        </is>
      </c>
      <c r="D119" s="2" t="inlineStr">
        <is>
          <t>裸铜测试焊盘，直径1.5mm</t>
        </is>
      </c>
      <c r="E119" s="2" t="inlineStr">
        <is>
          <t>PCB焊盘；默认不买测试柱</t>
        </is>
      </c>
      <c r="F119" s="2" t="n">
        <v>1</v>
      </c>
      <c r="G119" s="2" t="n">
        <v>0</v>
      </c>
      <c r="H119" s="2" t="inlineStr">
        <is>
          <t>默认无需采购</t>
        </is>
      </c>
      <c r="I119" s="2" t="inlineStr">
        <is>
          <t>14个设计测试点，实物采购数量为0；若改测试柱需同步封装</t>
        </is>
      </c>
      <c r="J119" s="2" t="inlineStr"/>
    </row>
    <row r="120" ht="58" customHeight="1">
      <c r="A120" s="2" t="inlineStr">
        <is>
          <t>TP13</t>
        </is>
      </c>
      <c r="B120" s="2" t="inlineStr">
        <is>
          <t>VREF_IOUT</t>
        </is>
      </c>
      <c r="C120" s="2" t="inlineStr">
        <is>
          <t>TP_D1.5</t>
        </is>
      </c>
      <c r="D120" s="2" t="inlineStr">
        <is>
          <t>裸铜测试焊盘，直径1.5mm</t>
        </is>
      </c>
      <c r="E120" s="2" t="inlineStr">
        <is>
          <t>PCB焊盘；默认不买测试柱</t>
        </is>
      </c>
      <c r="F120" s="2" t="n">
        <v>1</v>
      </c>
      <c r="G120" s="2" t="n">
        <v>0</v>
      </c>
      <c r="H120" s="2" t="inlineStr">
        <is>
          <t>默认无需采购</t>
        </is>
      </c>
      <c r="I120" s="2" t="inlineStr">
        <is>
          <t>14个设计测试点，实物采购数量为0；若改测试柱需同步封装</t>
        </is>
      </c>
      <c r="J120" s="2" t="inlineStr"/>
    </row>
    <row r="121" ht="58" customHeight="1">
      <c r="A121" s="2" t="inlineStr">
        <is>
          <t>TP14</t>
        </is>
      </c>
      <c r="B121" s="2" t="inlineStr">
        <is>
          <t>ADC_VIN_POST</t>
        </is>
      </c>
      <c r="C121" s="2" t="inlineStr">
        <is>
          <t>TP_D1.5</t>
        </is>
      </c>
      <c r="D121" s="2" t="inlineStr">
        <is>
          <t>裸铜测试焊盘，直径1.5mm</t>
        </is>
      </c>
      <c r="E121" s="2" t="inlineStr">
        <is>
          <t>PCB焊盘；默认不买测试柱</t>
        </is>
      </c>
      <c r="F121" s="2" t="n">
        <v>1</v>
      </c>
      <c r="G121" s="2" t="n">
        <v>0</v>
      </c>
      <c r="H121" s="2" t="inlineStr">
        <is>
          <t>默认无需采购</t>
        </is>
      </c>
      <c r="I121" s="2" t="inlineStr">
        <is>
          <t>14个设计测试点，实物采购数量为0；若改测试柱需同步封装</t>
        </is>
      </c>
      <c r="J121" s="2" t="inlineStr">
        <is>
          <t>新增ADC节点测试点</t>
        </is>
      </c>
    </row>
  </sheetData>
  <autoFilter ref="A1:J121"/>
  <printOptions horizontalCentered="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68" customWidth="1" min="3" max="3"/>
    <col width="12" customWidth="1" min="4" max="4"/>
    <col width="10" customWidth="1" min="5" max="5"/>
    <col width="110" customWidth="1" min="6" max="6"/>
  </cols>
  <sheetData>
    <row r="1" ht="30" customHeight="1">
      <c r="A1" s="1" t="inlineStr">
        <is>
          <t>类别</t>
        </is>
      </c>
      <c r="B1" s="1" t="inlineStr">
        <is>
          <t>配套对象</t>
        </is>
      </c>
      <c r="C1" s="1" t="inlineStr">
        <is>
          <t>规格</t>
        </is>
      </c>
      <c r="D1" s="1" t="inlineStr">
        <is>
          <t>数量</t>
        </is>
      </c>
      <c r="E1" s="1" t="inlineStr">
        <is>
          <t>单位</t>
        </is>
      </c>
      <c r="F1" s="1" t="inlineStr">
        <is>
          <t>说明</t>
        </is>
      </c>
    </row>
    <row r="2" ht="46" customHeight="1">
      <c r="A2" s="2" t="inlineStr">
        <is>
          <t>外接模块</t>
        </is>
      </c>
      <c r="B2" s="2" t="inlineStr">
        <is>
          <t>M1</t>
        </is>
      </c>
      <c r="C2" s="2" t="inlineStr">
        <is>
          <t>LM2596HV降压模块，输出调至12V，负载能力≥0.2A</t>
        </is>
      </c>
      <c r="D2" s="2" t="n">
        <v>1</v>
      </c>
      <c r="E2" s="2" t="inlineStr">
        <is>
          <t>块</t>
        </is>
      </c>
      <c r="F2" s="2" t="inlineStr">
        <is>
          <t>正文标称输入5～55V，覆盖15～25V；外接J_AUX12；先调压后接负载</t>
        </is>
      </c>
    </row>
    <row r="3" ht="46" customHeight="1">
      <c r="A3" s="2" t="inlineStr">
        <is>
          <t>外接模块</t>
        </is>
      </c>
      <c r="B3" s="2" t="inlineStr">
        <is>
          <t>M2</t>
        </is>
      </c>
      <c r="C3" s="2" t="inlineStr">
        <is>
          <t>LM2596HV降压模块，输出调至5V，负载能力≥0.5A</t>
        </is>
      </c>
      <c r="D3" s="2" t="n">
        <v>1</v>
      </c>
      <c r="E3" s="2" t="inlineStr">
        <is>
          <t>块</t>
        </is>
      </c>
      <c r="F3" s="2" t="inlineStr">
        <is>
          <t>与M1是两块独立模块；外接J_AUX5；额定范围不等于带载实测</t>
        </is>
      </c>
    </row>
    <row r="4" ht="46" customHeight="1">
      <c r="A4" s="2" t="inlineStr">
        <is>
          <t>外接模块</t>
        </is>
      </c>
      <c r="B4" s="2" t="inlineStr">
        <is>
          <t>MCU</t>
        </is>
      </c>
      <c r="C4" s="2" t="inlineStr">
        <is>
          <t>STM32F103C8T6核心板</t>
        </is>
      </c>
      <c r="D4" s="2" t="n">
        <v>1</v>
      </c>
      <c r="E4" s="2" t="inlineStr">
        <is>
          <t>块</t>
        </is>
      </c>
      <c r="F4" s="2" t="inlineStr">
        <is>
          <t>继续排线外接；确认5V输入、3.3V输出及实际排针；芯片手册不代表核心板机械图</t>
        </is>
      </c>
    </row>
    <row r="5" ht="46" customHeight="1">
      <c r="A5" s="2" t="inlineStr">
        <is>
          <t>外接模块</t>
        </is>
      </c>
      <c r="B5" s="2" t="inlineStr">
        <is>
          <t>LCD</t>
        </is>
      </c>
      <c r="C5" s="2" t="inlineStr">
        <is>
          <t>1.8英寸ST7735类SPI显示模块</t>
        </is>
      </c>
      <c r="D5" s="2" t="n">
        <v>1</v>
      </c>
      <c r="E5" s="2" t="inlineStr">
        <is>
          <t>块</t>
        </is>
      </c>
      <c r="F5" s="2" t="inlineStr">
        <is>
          <t>附件是11Pin版本，核对实际版本及供电跳线；SCK=PA5、MOSI=PA7；PA6留给ADC</t>
        </is>
      </c>
    </row>
    <row r="6" ht="46" customHeight="1">
      <c r="A6" s="2" t="inlineStr">
        <is>
          <t>保险配件</t>
        </is>
      </c>
      <c r="B6" s="2" t="inlineStr">
        <is>
          <t>F1管夹</t>
        </is>
      </c>
      <c r="C6" s="2" t="inlineStr">
        <is>
          <t>5×20mm黄铜镀镍管夹；单夹脚中心距5.66mm</t>
        </is>
      </c>
      <c r="D6" s="2" t="n">
        <v>2</v>
      </c>
      <c r="E6" s="2" t="inlineStr">
        <is>
          <t>只</t>
        </is>
      </c>
      <c r="F6" s="2" t="inlineStr">
        <is>
          <t>用户确认5.66是中心距；脚宽1.1/厚0.5；槽0.9×1.5设计值；双夹中心距15仅试装初值，旧6×30尺寸作废</t>
        </is>
      </c>
    </row>
    <row r="7" ht="46" customHeight="1">
      <c r="A7" s="2" t="inlineStr">
        <is>
          <t>外接开关</t>
        </is>
      </c>
      <c r="B7" s="2" t="inlineStr">
        <is>
          <t>J_BYP配套</t>
        </is>
      </c>
      <c r="C7" s="2" t="inlineStr">
        <is>
          <t>常开保持型SPST旁路开关，≥30VDC/≥3A</t>
        </is>
      </c>
      <c r="D7" s="2" t="n">
        <v>1</v>
      </c>
      <c r="E7" s="2" t="inlineStr">
        <is>
          <t>只</t>
        </is>
      </c>
      <c r="F7" s="2" t="inlineStr">
        <is>
          <t>与PCB端子分开计数；需明确直流额定，不能仅凭交流额定替代</t>
        </is>
      </c>
    </row>
    <row r="8" ht="46" customHeight="1">
      <c r="A8" s="2" t="inlineStr">
        <is>
          <t>配线</t>
        </is>
      </c>
      <c r="B8" s="2" t="inlineStr">
        <is>
          <t>J_AUX12/J_AUX5</t>
        </is>
      </c>
      <c r="C8" s="2" t="inlineStr">
        <is>
          <t>P2.54，1×4配套母座带线</t>
        </is>
      </c>
      <c r="D8" s="2" t="n">
        <v>2</v>
      </c>
      <c r="E8" s="2" t="inlineStr">
        <is>
          <t>套</t>
        </is>
      </c>
      <c r="F8" s="2" t="inlineStr">
        <is>
          <t>按VIN、GND、OUT、GND四线接；线长由模块安装位置确定</t>
        </is>
      </c>
    </row>
    <row r="9" ht="46" customHeight="1">
      <c r="A9" s="2" t="inlineStr">
        <is>
          <t>配线</t>
        </is>
      </c>
      <c r="B9" s="2" t="inlineStr">
        <is>
          <t>J_CTL配套</t>
        </is>
      </c>
      <c r="C9" s="2" t="inlineStr">
        <is>
          <t>P2.54，2×8配套母座及16芯控制线</t>
        </is>
      </c>
      <c r="D9" s="2" t="n">
        <v>1</v>
      </c>
      <c r="E9" s="2" t="inlineStr">
        <is>
          <t>套</t>
        </is>
      </c>
      <c r="F9" s="2" t="inlineStr">
        <is>
          <t>按逐引脚表定制；核对1脚与插接方向，不假设核心板可直接插装</t>
        </is>
      </c>
    </row>
    <row r="10" ht="46" customHeight="1">
      <c r="A10" s="2" t="inlineStr">
        <is>
          <t>配线</t>
        </is>
      </c>
      <c r="B10" s="2" t="inlineStr">
        <is>
          <t>J_MON配套</t>
        </is>
      </c>
      <c r="C10" s="2" t="inlineStr">
        <is>
          <t>PA6/GND两线连接线</t>
        </is>
      </c>
      <c r="D10" s="2" t="n">
        <v>1</v>
      </c>
      <c r="E10" s="2" t="inlineStr">
        <is>
          <t>套</t>
        </is>
      </c>
      <c r="F10" s="2" t="inlineStr">
        <is>
          <t>接J_MON.1→PA6、J_MON.2→GND；与LCD PA5分开</t>
        </is>
      </c>
    </row>
    <row r="11" ht="46" customHeight="1">
      <c r="A11" s="2" t="inlineStr">
        <is>
          <t>安装件</t>
        </is>
      </c>
      <c r="B11" s="2" t="inlineStr">
        <is>
          <t>PCB固定</t>
        </is>
      </c>
      <c r="C11" s="2" t="inlineStr">
        <is>
          <t>铜柱、螺丝、垫圈</t>
        </is>
      </c>
      <c r="D11" s="2" t="n"/>
      <c r="E11" s="2" t="inlineStr">
        <is>
          <t>套</t>
        </is>
      </c>
      <c r="F11" s="2" t="inlineStr">
        <is>
          <t>数量/高度待外壳核对；当前4个拟定安装孔不代表安装方案已经确认</t>
        </is>
      </c>
    </row>
    <row r="12" ht="46" customHeight="1">
      <c r="A12" s="2" t="inlineStr">
        <is>
          <t>安装件</t>
        </is>
      </c>
      <c r="B12" s="2" t="inlineStr">
        <is>
          <t>QH/QL散热</t>
        </is>
      </c>
      <c r="C12" s="2" t="inlineStr">
        <is>
          <t>散热片及必要的绝缘导热垫/肩套</t>
        </is>
      </c>
      <c r="D12" s="2" t="n"/>
      <c r="E12" s="2" t="inlineStr">
        <is>
          <t>套</t>
        </is>
      </c>
      <c r="F12" s="2" t="inlineStr">
        <is>
          <t>按温升与固定方式选配；金属背板是漏极，不默认共用导电散热片</t>
        </is>
      </c>
    </row>
    <row r="13" ht="46" customHeight="1">
      <c r="A13" s="2" t="inlineStr">
        <is>
          <t>配线</t>
        </is>
      </c>
      <c r="B13" s="2" t="inlineStr">
        <is>
          <t>R_PRE/电源线</t>
        </is>
      </c>
      <c r="C13" s="2" t="inlineStr">
        <is>
          <t>外置功率电阻固定件及电源导线</t>
        </is>
      </c>
      <c r="D13" s="2" t="n"/>
      <c r="E13" s="2" t="inlineStr">
        <is>
          <t>套</t>
        </is>
      </c>
      <c r="F13" s="2" t="inlineStr">
        <is>
          <t>R_PRE电阻已在主清单计1只，不再重复购买；长度/线径按布局与电流确认</t>
        </is>
      </c>
    </row>
  </sheetData>
  <autoFilter ref="A1:F13"/>
  <printOptions horizontalCentered="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65" customWidth="1" min="3" max="3"/>
    <col width="85" customWidth="1" min="4" max="4"/>
  </cols>
  <sheetData>
    <row r="1" ht="30" customHeight="1">
      <c r="A1" s="1" t="inlineStr">
        <is>
          <t>对象</t>
        </is>
      </c>
      <c r="B1" s="1" t="inlineStr">
        <is>
          <t>旧表/原始资料</t>
        </is>
      </c>
      <c r="C1" s="1" t="inlineStr">
        <is>
          <t>当前PCB采购基准</t>
        </is>
      </c>
      <c r="D1" s="1" t="inlineStr">
        <is>
          <t>必须处理</t>
        </is>
      </c>
    </row>
    <row r="2" ht="58" customHeight="1">
      <c r="A2" s="2" t="inlineStr">
        <is>
          <t>U1</t>
        </is>
      </c>
      <c r="B2" s="2" t="inlineStr">
        <is>
          <t>Rev B表：IR2104PbF</t>
        </is>
      </c>
      <c r="C2" s="2" t="inlineStr">
        <is>
          <t>设计IR2184PbF，DIP8</t>
        </is>
      </c>
      <c r="D2" s="2" t="inlineStr">
        <is>
          <t>用户已确认IR2184直插；无需本轮改板，不默认补购；完整订货号/库存数量另记</t>
        </is>
      </c>
    </row>
    <row r="3" ht="58" customHeight="1">
      <c r="A3" s="2" t="inlineStr">
        <is>
          <t>RS_L</t>
        </is>
      </c>
      <c r="B3" s="2" t="inlineStr">
        <is>
          <t>旧P10占位；库存未知</t>
        </is>
      </c>
      <c r="C3" s="2" t="inlineStr">
        <is>
          <t>25mΩ U型；P5、图示线径0.7、体高7</t>
        </is>
      </c>
      <c r="D3" s="2" t="inlineStr">
        <is>
          <t>PCB改P5；精度、连续功率及实际焊脚径/深度仍待核</t>
        </is>
      </c>
    </row>
    <row r="4" ht="58" customHeight="1">
      <c r="A4" s="2" t="inlineStr">
        <is>
          <t>RS_IN/RS_OUT</t>
        </is>
      </c>
      <c r="B4" s="2" t="inlineStr">
        <is>
          <t>P10原为占位；原设计R2512</t>
        </is>
      </c>
      <c r="C4" s="2" t="inlineStr">
        <is>
          <t>50mΩ M型，商品图P10/线径0.8/体高12/额定5A</t>
        </is>
      </c>
      <c r="D4" s="2" t="inlineStr">
        <is>
          <t>脚距已确认；精度、连续功率和包络厚度待核</t>
        </is>
      </c>
    </row>
    <row r="5" ht="58" customHeight="1">
      <c r="A5" s="2" t="inlineStr">
        <is>
          <t>F1</t>
        </is>
      </c>
      <c r="B5" s="2" t="inlineStr">
        <is>
          <t>中间采用6×30/7.7，现作废</t>
        </is>
      </c>
      <c r="C5" s="2" t="inlineStr">
        <is>
          <t>5×20mm、2A快断；配2只P5.66夹</t>
        </is>
      </c>
      <c r="D5" s="2" t="inlineStr">
        <is>
          <t>脚宽1.1/厚0.5；四槽更新；双夹15mm试装初值必须实物核对</t>
        </is>
      </c>
    </row>
    <row r="6" ht="58" customHeight="1">
      <c r="A6" s="2" t="inlineStr">
        <is>
          <t>J1/J2/J_BYP/J_MON</t>
        </is>
      </c>
      <c r="B6" s="2" t="inlineStr">
        <is>
          <t>旧P5.08端子</t>
        </is>
      </c>
      <c r="C6" s="2" t="inlineStr">
        <is>
          <t>P2.54、2P端子，共4只</t>
        </is>
      </c>
      <c r="D6" s="2" t="inlineStr">
        <is>
          <t>核对具体型号和进线方向</t>
        </is>
      </c>
    </row>
    <row r="7" ht="58" customHeight="1">
      <c r="A7" s="2" t="inlineStr">
        <is>
          <t>C1/C3</t>
        </is>
      </c>
      <c r="B7" s="2" t="inlineStr">
        <is>
          <t>旧D12.5占位</t>
        </is>
      </c>
      <c r="C7" s="2" t="inlineStr">
        <is>
          <t>D10、P5；高18/13分别记录</t>
        </is>
      </c>
      <c r="D7" s="2" t="inlineStr">
        <is>
          <t>完整料号、纹波和实际耐压待核</t>
        </is>
      </c>
    </row>
    <row r="8" ht="58" customHeight="1">
      <c r="A8" s="2" t="inlineStr">
        <is>
          <t>C2/C4/C6/C_A3</t>
        </is>
      </c>
      <c r="B8" s="2" t="inlineStr">
        <is>
          <t>原C1206占位</t>
        </is>
      </c>
      <c r="C8" s="2" t="inlineStr">
        <is>
          <t>现均0805；C4为10μF/50V</t>
        </is>
      </c>
      <c r="D8" s="2" t="inlineStr">
        <is>
          <t>C_A3本轮由用户单独确认0805，10μF/25V保持</t>
        </is>
      </c>
    </row>
    <row r="9" ht="58" customHeight="1">
      <c r="A9" s="2" t="inlineStr">
        <is>
          <t>100nF电容</t>
        </is>
      </c>
      <c r="B9" s="2" t="inlineStr">
        <is>
          <t>原472批次实际4.7nF；另购100nF/50V/0805/X7R共50只</t>
        </is>
      </c>
      <c r="C9" s="2" t="inlineStr">
        <is>
          <t>Rev C2单板需100nF共16只</t>
        </is>
      </c>
      <c r="D9" s="2" t="inlineStr">
        <is>
          <t>本项补购0只，装配一板后余34只；完整料号/容差未提供</t>
        </is>
      </c>
    </row>
    <row r="10" ht="58" customHeight="1">
      <c r="A10" s="2" t="inlineStr">
        <is>
          <t>4.7nF电容</t>
        </is>
      </c>
      <c r="B10" s="2" t="inlineStr">
        <is>
          <t>C7～C10实购CL21B472JBANNNC/X7R；现另购C0G款也获确认</t>
        </is>
      </c>
      <c r="C10" s="2" t="inlineStr">
        <is>
          <t>C7/C8/C9/C10用X7R共4只；C_VINP_ADC用C0G 1只</t>
        </is>
      </c>
      <c r="D10" s="2" t="inlineStr">
        <is>
          <t>C0G库存2只，单板需1只/补购0只；X7R库存数量及C0G完整料号/容差待核，两类不混装</t>
        </is>
      </c>
    </row>
    <row r="11" ht="58" customHeight="1">
      <c r="A11" s="2" t="inlineStr">
        <is>
          <t>R_SN/C_SN</t>
        </is>
      </c>
      <c r="B11" s="2" t="inlineStr">
        <is>
          <t>吸收预留</t>
        </is>
      </c>
      <c r="C11" s="2" t="inlineStr">
        <is>
          <t>各1，默认不装；R_SN为1206</t>
        </is>
      </c>
      <c r="D11" s="2" t="inlineStr">
        <is>
          <t>DNP不列为默认必装</t>
        </is>
      </c>
    </row>
    <row r="12" ht="58" customHeight="1">
      <c r="A12" s="2" t="inlineStr">
        <is>
          <t>测试点</t>
        </is>
      </c>
      <c r="B12" s="2" t="inlineStr">
        <is>
          <t>TP1～TP10旧表</t>
        </is>
      </c>
      <c r="C12" s="2" t="inlineStr">
        <is>
          <t>TP1～TP14共14个裸焊盘</t>
        </is>
      </c>
      <c r="D12" s="2" t="inlineStr">
        <is>
          <t>默认无需采购测试柱</t>
        </is>
      </c>
    </row>
    <row r="13" ht="58" customHeight="1">
      <c r="A13" s="2" t="inlineStr">
        <is>
          <t>J_MON</t>
        </is>
      </c>
      <c r="B13" s="2" t="inlineStr">
        <is>
          <t>C.1 PA5</t>
        </is>
      </c>
      <c r="C13" s="2" t="inlineStr">
        <is>
          <t>C.2 PA6/ADC12_IN6</t>
        </is>
      </c>
      <c r="D13" s="2" t="inlineStr">
        <is>
          <t>PA5保留LCD SCK</t>
        </is>
      </c>
    </row>
  </sheetData>
  <autoFilter ref="A1:D13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2026-10-27T14:47:50Z</dcterms:created>
  <dcterms:modified xmlns:dcterms="http://purl.org/dc/terms/" xmlns:xsi="http://www.w3.org/2001/XMLSchema-instance" xsi:type="dcterms:W3CDTF">2026-10-27T14:47:50Z</dcterms:modified>
</cp:coreProperties>
</file>