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'使用说明'!$A$1:$B$24</definedName>
    <definedName name="_xlnm.Print_Titles" localSheetId="0">'使用说明'!$1:$1</definedName>
    <definedName name="_xlnm._FilterDatabase" localSheetId="1" hidden="1">'采购汇总'!$A$1:$J$47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4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2026-10-28旁路开关选型</t>
        </is>
      </c>
      <c r="B2" s="2" t="inlineStr">
        <is>
          <t>比较8fe83d4：用户提出MN11SS4W01替代MSS-22D18。按当前唯一对应的J_BYP两线外接旁路用途，采用NKK MN11SS4W01，4A/30VDC满足≥3A/30VDC要求；SPST保持型，两焊片接FUSED/IN_PRE，不接GND。旧MSS-22D18未在工程中明确标注，其实际双路/换向使用情况未确认，不能宣称六脚通用替换。原理图/PCB原生文件、Gerber、接口及仿真/固件不改；外接开关BOM型号改变、需面板Ø6.5mm固定和两线焊接。库存/已购数量未知，不默认已经购买。预充后闭合、停机断电后打开，不作为电源隔离开关。</t>
        </is>
      </c>
    </row>
    <row r="3" ht="46" customHeight="1">
      <c r="A3" s="2" t="inlineStr">
        <is>
          <t>最新1nF数量确认</t>
        </is>
      </c>
      <c r="B3" s="2" t="inlineStr">
        <is>
          <t>比较6f26307：用户对另购1nF/50V/C0G（NP0）/0805数量回复“4”，登记库存4只。C_IL_ADC、C_IL_PROT单板各1只，共2只；需补购0只，预计装一板后余2只，尚未实际扣减库存。Excel库存填4、补购保留动态公式，CSV写当前4/0。图片中的1206/X7R/50只另记，不混入本项；本次50V备料不覆盖C_SN的100V/C0G/DNP预留。完整料号/容差待归档；采购46行、120逻辑位号/104默认有料及先前三类库存保持。原理图/PCB原生文件、网络、脚号、设计值/封装及单板用量未改，仅更新库存和补购记录，无新增器件或改板要求；仿真/固件未修改或运行。</t>
        </is>
      </c>
    </row>
    <row r="4" ht="46" customHeight="1">
      <c r="A4" s="2" t="inlineStr">
        <is>
          <t>历史1nF另购确认（数量已后补）</t>
        </is>
      </c>
      <c r="B4" s="2" t="inlineStr">
        <is>
          <t>比较1dac34a：用户对是否另有1nF/50V/C0G（NP0）/0805回复“买了”，确认正常装配C_IL_ADC、C_IL_PROT所需C0G款已另购，每板共2只。实际数量、完整料号和容差未提供，库存/补购栏留空，不把设计需求2只当成库存。此前图片1206/1nF/±10%/50V/X7R/50只仍单独登记，不抵扣0805/C0G需求；本轮50V规格确认不用于C_SN的1nF/100V/C0G/DNP预留。原理图和PCB原生文件、网络、脚号、设计值/封装及用量均未改；仅更新BOM已购状态，不需要本轮改板或新增逻辑器件。46采购行、120逻辑位号、104默认有料及先前三类已确认库存保持；仿真/固件未修改或运行。</t>
        </is>
      </c>
    </row>
    <row r="5" ht="46" customHeight="1">
      <c r="A5" s="2" t="inlineStr">
        <is>
          <t>历史1nF图片核对（后续另购见最新项）</t>
        </is>
      </c>
      <c r="B5" s="2" t="inlineStr">
        <is>
          <t>比较8d57b27：用户新图已选规格为1206、1nF、±10%、50V、X7R，50只；无完整厂家型号。原理图C_IL_ADC/C_IL_PROT正常装配共2只，PCB均C0805，且C_IL_PROT明确C0G。这批1206/X7R不能视作0805/C0G可直接装配库存，50只不填入目标行库存。建议另备1nF/50V/C0G/0805共2只以统一备料；是否已有该款待核，不自动认定缺货2只。C_SN另为1nF/100V/C0G、DNP，本图也不能用于确认该项。原理图/PCB原生文件、网络、设计值和封装均未改；没有放大焊盘或放宽介质要求。仅更新实购物料记录及BOM待核状态，仿真/固件未修改或运行。</t>
        </is>
      </c>
    </row>
    <row r="6" ht="46" customHeight="1">
      <c r="A6" s="2" t="inlineStr">
        <is>
          <t>版本基准</t>
        </is>
      </c>
      <c r="B6" s="2" t="inlineStr">
        <is>
          <t>本次比较6f26307；1nF/50V/C0G/0805已购4只，单板用2只/补购0只/装一板余2只；仅更新库存，设计保持。</t>
        </is>
      </c>
    </row>
    <row r="7" ht="46" customHeight="1">
      <c r="A7" s="2" t="inlineStr">
        <is>
          <t>计数口径</t>
        </is>
      </c>
      <c r="B7" s="2" t="inlineStr">
        <is>
          <t>120个逻辑位号含14个裸测试点、2个DNP预留和1个外置R_PRE。120不等于需购买120个独立实体。</t>
        </is>
      </c>
    </row>
    <row r="8" ht="46" customHeight="1">
      <c r="A8" s="2" t="inlineStr">
        <is>
          <t>默认装配</t>
        </is>
      </c>
      <c r="B8" s="2" t="inlineStr">
        <is>
          <t>120−14裸测试点−2个DNP=104个有料逻辑位号；含R_PRE外置电阻。管夹、模块、开关和线束另表计数。</t>
        </is>
      </c>
    </row>
    <row r="9" ht="46" customHeight="1">
      <c r="A9" s="2" t="inlineStr">
        <is>
          <t>库存填写</t>
        </is>
      </c>
      <c r="B9" s="2" t="inlineStr">
        <is>
          <t>G列已填用户确认库存：100nF/X7R 50只、4.7nF/X7R 50只、4.7nF/C0G 2只、1nF/C0G 4只，四项单板补购均0。其他空白表示未知，不代表未购。</t>
        </is>
      </c>
    </row>
    <row r="10" ht="46" customHeight="1">
      <c r="A10" s="2" t="inlineStr">
        <is>
          <t>DNP</t>
        </is>
      </c>
      <c r="B10" s="2" t="inlineStr">
        <is>
          <t>R_SN/C_SN各设计1个，默认装配0个；实测振铃后决定是否装配和调值。</t>
        </is>
      </c>
    </row>
    <row r="11" ht="46" customHeight="1">
      <c r="A11" s="2" t="inlineStr">
        <is>
          <t>采购规格</t>
        </is>
      </c>
      <c r="B11" s="2" t="inlineStr">
        <is>
          <t>标“建议/统一采购”的额定、精度或介质是采购建议，区别于源图原始标注；实际原始值在逐位号页保留。</t>
        </is>
      </c>
    </row>
    <row r="12" ht="46" customHeight="1">
      <c r="A12" s="2" t="inlineStr">
        <is>
          <t>普通/精密电阻功率</t>
        </is>
      </c>
      <c r="B12" s="2" t="inlineStr">
        <is>
          <t>除源图另有功率要求的R_BL/R_SN/R_PRE和分流器外，0805电阻统一≥0.125W是本表采购建议，不冒充源图已规定的功率。</t>
        </is>
      </c>
    </row>
    <row r="13" ht="46" customHeight="1">
      <c r="A13" s="2" t="inlineStr">
        <is>
          <t>优先核对</t>
        </is>
      </c>
      <c r="B13" s="2" t="inlineStr">
        <is>
          <t>U1型号家族/直插类别已确认；保留IR2184PbF设计标注，不再列为型号封装待确认或默认补购；库存数量另填，IR2104不可代装。RS_L 25mΩ在B3清单中已包含，旧表记未购，现库存待核，不再自动假定库存为0。</t>
        </is>
      </c>
    </row>
    <row r="14" ht="46" customHeight="1">
      <c r="A14" s="2" t="inlineStr">
        <is>
          <t>电容数量</t>
        </is>
      </c>
      <c r="B14" s="2" t="inlineStr">
        <is>
          <t>100nF共16只、4.7nF共5只、默认1nF共2只，另有1只DNP的1nF/100V。</t>
        </is>
      </c>
    </row>
    <row r="15" ht="46" customHeight="1">
      <c r="A15" s="2" t="inlineStr">
        <is>
          <t>料号纠错</t>
        </is>
      </c>
      <c r="B15" s="2" t="inlineStr">
        <is>
          <t>472批次已确认4.7nF；随后用户确认另外买了100nF/0805，两批分开记录。100nF/50V/0805/X7R已购50只，单板需求16只，补购0只，装配一板后余34只；完整料号/容差未提供；用户现已确认实际型号CL21B472JBANNNC，先前口头C0G由实际型号纠正为X7R；该款50V/±5%/0805按用户编码图明确。C_VINP_ADC所需的4.7nF/50V/C0G/0805另购状态已获确认；该批C0G库存2只、单板用1只/补购0只；C0G完整料号/容差待归档；CL21B472JBANNNC/X7R库存现已确认50只、单板用4只/补购0只，两类不混计。</t>
        </is>
      </c>
    </row>
    <row r="16" ht="46" customHeight="1">
      <c r="A16" s="2" t="inlineStr">
        <is>
          <t>分流器新证据</t>
        </is>
      </c>
      <c r="B16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7" ht="46" customHeight="1">
      <c r="A17" s="2" t="inlineStr">
        <is>
          <t>保险夹确认</t>
        </is>
      </c>
      <c r="B17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8" ht="46" customHeight="1">
      <c r="A18" s="2" t="inlineStr">
        <is>
          <t>二极管确认</t>
        </is>
      </c>
      <c r="B18" s="2" t="inlineStr">
        <is>
          <t>两只SR560/SMB已由用户明确；沿用现有SMB标准几何，1=K/2=A。DO-201AD图不用于贴片建库，厂家完整电气手册/推荐焊盘最终复核仍需归档。</t>
        </is>
      </c>
    </row>
    <row r="19" ht="46" customHeight="1">
      <c r="A19" s="2" t="inlineStr">
        <is>
          <t>未确认封装</t>
        </is>
      </c>
      <c r="B19" s="2" t="inlineStr">
        <is>
          <t>C_A3的0805类别已确认；F1组合试装、分流器完整包络及外壳固定仍待核。C_A3完整料号/介质/偏压有效容量、二极管厂家数据待最终复核。</t>
        </is>
      </c>
    </row>
    <row r="20" ht="46" customHeight="1">
      <c r="A20" s="2" t="inlineStr">
        <is>
          <t>电感</t>
        </is>
      </c>
      <c r="B20" s="2" t="inlineStr">
        <is>
          <t>65125图示6A Max不是饱和电流保证；源设计仍要求Isat≥3A、Irms≥1.5A、DCR≤0.15Ω。</t>
        </is>
      </c>
    </row>
    <row r="21" ht="46" customHeight="1">
      <c r="A21" s="2" t="inlineStr">
        <is>
          <t>当前制造状态</t>
        </is>
      </c>
      <c r="B21" s="2" t="inlineStr">
        <is>
          <t>PCB仍有未布连接，客户端打开、原生ERC/DRC未完成；清单提供采购核对依据，不是制板放行。</t>
        </is>
      </c>
    </row>
    <row r="22" ht="46" customHeight="1">
      <c r="A22" s="2" t="inlineStr">
        <is>
          <t>本次原理图影响</t>
        </is>
      </c>
      <c r="B22" s="2" t="inlineStr">
        <is>
          <t>相对6f26307，原理图和PCB原生文件未改，网络/脚号/设计值/封装与单板用量保持。</t>
        </is>
      </c>
    </row>
    <row r="23" ht="46" customHeight="1">
      <c r="A23" s="2" t="inlineStr">
        <is>
          <t>本次器件/PCB影响</t>
        </is>
      </c>
      <c r="B23" s="2" t="inlineStr">
        <is>
          <t>1nF/50V/C0G/0805登记库存4只，单板用2只/补购0只，预计装一板余2只；1206/X7R款分开。完整料号/容差待归档，46采购行/120位号/104默认有料及既有三类库存保持，无新增或改板要求。</t>
        </is>
      </c>
    </row>
    <row r="24" ht="46" customHeight="1">
      <c r="A24" s="2" t="inlineStr">
        <is>
          <t>本次仿真/固件影响</t>
        </is>
      </c>
      <c r="B24" s="2" t="inlineStr">
        <is>
          <t>未修改或运行Multisim/ngspice/STM32固件，旧器件/功能等效模型未同步为SR560厂家模型，不证明新选型压降、温升、效率或保护实测通过。</t>
        </is>
      </c>
    </row>
  </sheetData>
  <autoFilter ref="A1:B24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用户已确认IR2184直插</t>
        </is>
      </c>
      <c r="J2" s="2" t="inlineStr">
        <is>
          <t>与既有DIP8_300一致；保留设计PbF标注，不把家族确认当成完整订货号/厂家确认；库存数量另填；IR2104不可代装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用户已确认立式；电气额定待核</t>
        </is>
      </c>
      <c r="J10" s="2" t="inlineStr">
        <is>
          <t>沿用当前立式布局；图示6A Max不是Isat证明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C6、C_A3</t>
        </is>
      </c>
      <c r="E19" s="2" t="n">
        <v>2</v>
      </c>
      <c r="F19" s="2" t="n">
        <v>2</v>
      </c>
      <c r="G19" s="3" t="n"/>
      <c r="H19" s="2">
        <f>IF(G19="","",MAX(F19-G19,0))</f>
        <v/>
      </c>
      <c r="I19" s="2" t="inlineStr">
        <is>
          <t>两只0805已确认；完整料号/介质待核</t>
        </is>
      </c>
      <c r="J19" s="2" t="inlineStr">
        <is>
          <t>共2只；C6来自原参数表，C_A3本轮由用户明确0805并替换原1206占位；实际介质与偏压后容量待核，库存另填</t>
        </is>
      </c>
    </row>
    <row r="20" ht="58" customHeight="1">
      <c r="A20" s="2" t="inlineStr">
        <is>
          <t>贴片电容</t>
        </is>
      </c>
      <c r="B20" s="2" t="inlineStr">
        <is>
          <t>100nF/50V，X7R</t>
        </is>
      </c>
      <c r="C20" s="2" t="inlineStr">
        <is>
          <t>0805</t>
        </is>
      </c>
      <c r="D20" s="2" t="inlineStr">
        <is>
          <t>C5、C_U2、C_U3、C_U4、C_A2、C_REF_POS、C_REF_NEG、C_REF_OV、C_U5、C_U9、C11、C_U6、C_U7、C_U8、C_REF_IOUT、C_IOUT_PROT</t>
        </is>
      </c>
      <c r="E20" s="2" t="n">
        <v>16</v>
      </c>
      <c r="F20" s="2" t="n">
        <v>16</v>
      </c>
      <c r="G20" s="3" t="n">
        <v>50</v>
      </c>
      <c r="H20" s="2">
        <f>IF(G20="","",MAX(F20-G20,0))</f>
        <v/>
      </c>
      <c r="I20" s="2" t="inlineStr">
        <is>
          <t>100nF/50V/0805/X7R，已购50只</t>
        </is>
      </c>
      <c r="J20" s="2" t="inlineStr">
        <is>
          <t>用户对数量回复50；按单板用16只，补购0只，装一板后余34只。完整料号/容差未提供；472批次独立记4.7nF，不混计库存</t>
        </is>
      </c>
    </row>
    <row r="21" ht="58" customHeight="1">
      <c r="A21" s="2" t="inlineStr">
        <is>
          <t>贴片电容</t>
        </is>
      </c>
      <c r="B21" s="2" t="inlineStr">
        <is>
          <t>CL21B472JBANNNC；4.7nF/50V，±5%，X7R</t>
        </is>
      </c>
      <c r="C21" s="2" t="inlineStr">
        <is>
          <t>0805</t>
        </is>
      </c>
      <c r="D21" s="2" t="inlineStr">
        <is>
          <t>C7、C8、C9、C10</t>
        </is>
      </c>
      <c r="E21" s="2" t="n">
        <v>4</v>
      </c>
      <c r="F21" s="2" t="n">
        <v>4</v>
      </c>
      <c r="G21" s="3" t="n">
        <v>50</v>
      </c>
      <c r="H21" s="2">
        <f>IF(G21="","",MAX(F21-G21,0))</f>
        <v/>
      </c>
      <c r="I21" s="2" t="inlineStr">
        <is>
          <t>CL21B472JBANNNC，已购50只</t>
        </is>
      </c>
      <c r="J21" s="2" t="inlineStr">
        <is>
          <t>用户对这批X7R数量回复50；0805/4.7nF/50V/±5%/X7R，单板4只，补购0只，装一板后余46只。不得用于C_VINP_ADC；与另购C0G库存2只分开</t>
        </is>
      </c>
    </row>
    <row r="22" ht="58" customHeight="1">
      <c r="A22" s="2" t="inlineStr">
        <is>
          <t>贴片电容</t>
        </is>
      </c>
      <c r="B22" s="2" t="inlineStr">
        <is>
          <t>4.7nF/50V，C0G/NP0</t>
        </is>
      </c>
      <c r="C22" s="2" t="inlineStr">
        <is>
          <t>0805</t>
        </is>
      </c>
      <c r="D22" s="2" t="inlineStr">
        <is>
          <t>C_VINP_ADC</t>
        </is>
      </c>
      <c r="E22" s="2" t="n">
        <v>1</v>
      </c>
      <c r="F22" s="2" t="n">
        <v>1</v>
      </c>
      <c r="G22" s="3" t="n">
        <v>2</v>
      </c>
      <c r="H22" s="2">
        <f>IF(G22="","",MAX(F22-G22,0))</f>
        <v/>
      </c>
      <c r="I22" s="2" t="inlineStr">
        <is>
          <t>4.7nF/50V/C0G/0805，已购2只</t>
        </is>
      </c>
      <c r="J22" s="2" t="inlineStr">
        <is>
          <t>用户对C0G批次数量回复2；单板1只，补购0只，装配一板后余1只。与C7～C10的CL21B472JBANNNC/X7R库存分开；完整料号/容差未提供</t>
        </is>
      </c>
    </row>
    <row r="23" ht="58" customHeight="1">
      <c r="A23" s="2" t="inlineStr">
        <is>
          <t>贴片电容</t>
        </is>
      </c>
      <c r="B23" s="2" t="inlineStr">
        <is>
          <t>1nF/50V，C0G/NP0</t>
        </is>
      </c>
      <c r="C23" s="2" t="inlineStr">
        <is>
          <t>0805</t>
        </is>
      </c>
      <c r="D23" s="2" t="inlineStr">
        <is>
          <t>C_IL_ADC、C_IL_PROT</t>
        </is>
      </c>
      <c r="E23" s="2" t="n">
        <v>2</v>
      </c>
      <c r="F23" s="2" t="n">
        <v>2</v>
      </c>
      <c r="G23" s="3" t="n">
        <v>4</v>
      </c>
      <c r="H23" s="2">
        <f>IF(G23="","",MAX(F23-G23,0))</f>
        <v/>
      </c>
      <c r="I23" s="2" t="inlineStr">
        <is>
          <t>1nF/50V/C0G/0805，已购4只</t>
        </is>
      </c>
      <c r="J23" s="2" t="inlineStr">
        <is>
          <t>用户对这批0805/C0G的数量回复4；正常装配共2只，单板补购0只，装一板后余2只。与图片1206/X7R/50只分开；完整料号/容差未提供，不覆盖C_SN的100V/DNP项</t>
        </is>
      </c>
    </row>
    <row r="24" ht="58" customHeight="1">
      <c r="A24" s="2" t="inlineStr">
        <is>
          <t>贴片电容</t>
        </is>
      </c>
      <c r="B24" s="2" t="inlineStr">
        <is>
          <t>1nF/100V，C0G/NP0，DNP</t>
        </is>
      </c>
      <c r="C24" s="2" t="inlineStr">
        <is>
          <t>0805</t>
        </is>
      </c>
      <c r="D24" s="2" t="inlineStr">
        <is>
          <t>C_SN</t>
        </is>
      </c>
      <c r="E24" s="2" t="n">
        <v>1</v>
      </c>
      <c r="F24" s="2" t="n">
        <v>0</v>
      </c>
      <c r="G24" s="3" t="n"/>
      <c r="H24" s="2">
        <f>IF(G24="","",MAX(F24-G24,0))</f>
        <v/>
      </c>
      <c r="I24" s="2" t="inlineStr">
        <is>
          <t>DNP，默认不装</t>
        </is>
      </c>
      <c r="J24" s="2" t="inlineStr">
        <is>
          <t>吸收电路预留，实测振铃后决定是否装配及调值</t>
        </is>
      </c>
    </row>
    <row r="25" ht="58" customHeight="1">
      <c r="A25" s="2" t="inlineStr">
        <is>
          <t>普通电阻</t>
        </is>
      </c>
      <c r="B25" s="2" t="inlineStr">
        <is>
          <t>4.7Ω，建议1%、≥0.125W</t>
        </is>
      </c>
      <c r="C25" s="2" t="inlineStr">
        <is>
          <t>0805</t>
        </is>
      </c>
      <c r="D25" s="2" t="inlineStr">
        <is>
          <t>RG_H、RG_L</t>
        </is>
      </c>
      <c r="E25" s="2" t="n">
        <v>2</v>
      </c>
      <c r="F25" s="2" t="n">
        <v>2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不要沿用Rev B中的旧栅极电阻值</t>
        </is>
      </c>
    </row>
    <row r="26" ht="58" customHeight="1">
      <c r="A26" s="2" t="inlineStr">
        <is>
          <t>普通电阻</t>
        </is>
      </c>
      <c r="B26" s="2" t="inlineStr">
        <is>
          <t>1Ω，建议1%、≥0.125W</t>
        </is>
      </c>
      <c r="C26" s="2" t="inlineStr">
        <is>
          <t>0805</t>
        </is>
      </c>
      <c r="D26" s="2" t="inlineStr">
        <is>
          <t>R_VDDA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模拟电源串联电阻，不能错装成0Ω</t>
        </is>
      </c>
    </row>
    <row r="27" ht="58" customHeight="1">
      <c r="A27" s="2" t="inlineStr">
        <is>
          <t>普通电阻</t>
        </is>
      </c>
      <c r="B27" s="2" t="inlineStr">
        <is>
          <t>100Ω，建议1%、≥0.125W</t>
        </is>
      </c>
      <c r="C27" s="2" t="inlineStr">
        <is>
          <t>0805</t>
        </is>
      </c>
      <c r="D27" s="2" t="inlineStr">
        <is>
          <t>R_PWM</t>
        </is>
      </c>
      <c r="E27" s="2" t="n">
        <v>1</v>
      </c>
      <c r="F27" s="2" t="n">
        <v>1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与100Ω/0.1%精密电阻分开采购</t>
        </is>
      </c>
    </row>
    <row r="28" ht="58" customHeight="1">
      <c r="A28" s="2" t="inlineStr">
        <is>
          <t>普通电阻</t>
        </is>
      </c>
      <c r="B28" s="2" t="inlineStr">
        <is>
          <t>1kΩ，1%、≥0.125W（统一采购建议）</t>
        </is>
      </c>
      <c r="C28" s="2" t="inlineStr">
        <is>
          <t>0805</t>
        </is>
      </c>
      <c r="D28" s="2" t="inlineStr">
        <is>
          <t>R3、R6、R7、R8、R_IL_ADC、R_VINP_ADC、R_IL_PROT、R_IOUT_PROT</t>
        </is>
      </c>
      <c r="E28" s="2" t="n">
        <v>8</v>
      </c>
      <c r="F28" s="2" t="n">
        <v>8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共8只；两项保护电阻明确要求1%；原图其余未明确精度，建议统一1%</t>
        </is>
      </c>
    </row>
    <row r="29" ht="58" customHeight="1">
      <c r="A29" s="2" t="inlineStr">
        <is>
          <t>普通电阻</t>
        </is>
      </c>
      <c r="B29" s="2" t="inlineStr">
        <is>
          <t>10kΩ，建议1%、≥0.125W</t>
        </is>
      </c>
      <c r="C29" s="2" t="inlineStr">
        <is>
          <t>0805</t>
        </is>
      </c>
      <c r="D29" s="2" t="inlineStr">
        <is>
          <t>R_GSH、R_GSL、R_IN_PD、R_SD_PD、R12、R13、R14、R_EN_PD、R_ARM_PD、R_IOUT_PU</t>
        </is>
      </c>
      <c r="E29" s="2" t="n">
        <v>10</v>
      </c>
      <c r="F29" s="2" t="n">
        <v>10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普通10kΩ共10只；不替代0.1%分压/参考电阻</t>
        </is>
      </c>
    </row>
    <row r="30" ht="58" customHeight="1">
      <c r="A30" s="2" t="inlineStr">
        <is>
          <t>普通电阻</t>
        </is>
      </c>
      <c r="B30" s="2" t="inlineStr">
        <is>
          <t>23kΩ，建议1%、≥0.125W</t>
        </is>
      </c>
      <c r="C30" s="2" t="inlineStr">
        <is>
          <t>0805</t>
        </is>
      </c>
      <c r="D30" s="2" t="inlineStr">
        <is>
          <t>R11</t>
        </is>
      </c>
      <c r="E30" s="2" t="n">
        <v>1</v>
      </c>
      <c r="F30" s="2" t="n">
        <v>1</v>
      </c>
      <c r="G30" s="3" t="n"/>
      <c r="H30" s="2">
        <f>IF(G30="","",MAX(F30-G30,0))</f>
        <v/>
      </c>
      <c r="I30" s="2" t="inlineStr">
        <is>
          <t>核对已购物料</t>
        </is>
      </c>
      <c r="J30" s="2" t="inlineStr">
        <is>
          <t>按23kΩ采购；不直接换成22kΩ</t>
        </is>
      </c>
    </row>
    <row r="31" ht="58" customHeight="1">
      <c r="A31" s="2" t="inlineStr">
        <is>
          <t>精密电阻</t>
        </is>
      </c>
      <c r="B31" s="2" t="inlineStr">
        <is>
          <t>100kΩ，0.1%，≥0.125W</t>
        </is>
      </c>
      <c r="C31" s="2" t="inlineStr">
        <is>
          <t>0805</t>
        </is>
      </c>
      <c r="D31" s="2" t="inlineStr">
        <is>
          <t>R1、R_VINP_TOP</t>
        </is>
      </c>
      <c r="E31" s="2" t="n">
        <v>2</v>
      </c>
      <c r="F31" s="2" t="n">
        <v>2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温漂未在源图固定；按实购物料记录，不虚构已确认参数</t>
        </is>
      </c>
    </row>
    <row r="32" ht="58" customHeight="1">
      <c r="A32" s="2" t="inlineStr">
        <is>
          <t>精密电阻</t>
        </is>
      </c>
      <c r="B32" s="2" t="inlineStr">
        <is>
          <t>10kΩ，0.1%，≥0.125W</t>
        </is>
      </c>
      <c r="C32" s="2" t="inlineStr">
        <is>
          <t>0805</t>
        </is>
      </c>
      <c r="D32" s="2" t="inlineStr">
        <is>
          <t>R2、R4、R9、R16、R_IOUT_BOT、R_VINP_BOT</t>
        </is>
      </c>
      <c r="E32" s="2" t="n">
        <v>6</v>
      </c>
      <c r="F32" s="2" t="n">
        <v>6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共6只，与普通10kΩ区分</t>
        </is>
      </c>
    </row>
    <row r="33" ht="58" customHeight="1">
      <c r="A33" s="2" t="inlineStr">
        <is>
          <t>精密电阻</t>
        </is>
      </c>
      <c r="B33" s="2" t="inlineStr">
        <is>
          <t>1kΩ，0.1%，≥0.125W</t>
        </is>
      </c>
      <c r="C33" s="2" t="inlineStr">
        <is>
          <t>0805</t>
        </is>
      </c>
      <c r="D33" s="2" t="inlineStr">
        <is>
          <t>R5</t>
        </is>
      </c>
      <c r="E33" s="2" t="n">
        <v>1</v>
      </c>
      <c r="F33" s="2" t="n">
        <v>1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与普通1kΩ区分</t>
        </is>
      </c>
    </row>
    <row r="34" ht="58" customHeight="1">
      <c r="A34" s="2" t="inlineStr">
        <is>
          <t>精密电阻</t>
        </is>
      </c>
      <c r="B34" s="2" t="inlineStr">
        <is>
          <t>49.9kΩ，0.1%，≥0.125W</t>
        </is>
      </c>
      <c r="C34" s="2" t="inlineStr">
        <is>
          <t>0805</t>
        </is>
      </c>
      <c r="D34" s="2" t="inlineStr">
        <is>
          <t>R10A、R15A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保留49.9kΩ，不用近似值替代</t>
        </is>
      </c>
    </row>
    <row r="35" ht="58" customHeight="1">
      <c r="A35" s="2" t="inlineStr">
        <is>
          <t>精密电阻</t>
        </is>
      </c>
      <c r="B35" s="2" t="inlineStr">
        <is>
          <t>100Ω，0.1%，≥0.125W</t>
        </is>
      </c>
      <c r="C35" s="2" t="inlineStr">
        <is>
          <t>0805</t>
        </is>
      </c>
      <c r="D35" s="2" t="inlineStr">
        <is>
          <t>R10B、R15B</t>
        </is>
      </c>
      <c r="E35" s="2" t="n">
        <v>2</v>
      </c>
      <c r="F35" s="2" t="n">
        <v>2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共2只，与R_PWM分开</t>
        </is>
      </c>
    </row>
    <row r="36" ht="58" customHeight="1">
      <c r="A36" s="2" t="inlineStr">
        <is>
          <t>精密电阻</t>
        </is>
      </c>
      <c r="B36" s="2" t="inlineStr">
        <is>
          <t>20kΩ，0.1%，≥0.125W</t>
        </is>
      </c>
      <c r="C36" s="2" t="inlineStr">
        <is>
          <t>0805</t>
        </is>
      </c>
      <c r="D36" s="2" t="inlineStr">
        <is>
          <t>R_IOUT_TOP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精度/料号待核</t>
        </is>
      </c>
      <c r="J36" s="2" t="inlineStr">
        <is>
          <t>输出告警参考上臂</t>
        </is>
      </c>
    </row>
    <row r="37" ht="58" customHeight="1">
      <c r="A37" s="2" t="inlineStr">
        <is>
          <t>功率电阻</t>
        </is>
      </c>
      <c r="B37" s="2" t="inlineStr">
        <is>
          <t>2.2kΩ，≥0.25W</t>
        </is>
      </c>
      <c r="C37" s="2" t="inlineStr">
        <is>
          <t>1206</t>
        </is>
      </c>
      <c r="D37" s="2" t="inlineStr">
        <is>
          <t>R_BL</t>
        </is>
      </c>
      <c r="E37" s="2" t="n">
        <v>1</v>
      </c>
      <c r="F37" s="2" t="n">
        <v>1</v>
      </c>
      <c r="G37" s="3" t="n"/>
      <c r="H37" s="2">
        <f>IF(G37="","",MAX(F37-G37,0))</f>
        <v/>
      </c>
      <c r="I37" s="2" t="inlineStr">
        <is>
          <t>功率/料号待核</t>
        </is>
      </c>
      <c r="J37" s="2" t="inlineStr">
        <is>
          <t>确认实物额定功率，不能买成普通0805</t>
        </is>
      </c>
    </row>
    <row r="38" ht="58" customHeight="1">
      <c r="A38" s="2" t="inlineStr">
        <is>
          <t>功率电阻</t>
        </is>
      </c>
      <c r="B38" s="2" t="inlineStr">
        <is>
          <t>10Ω，≥0.25W，DNP</t>
        </is>
      </c>
      <c r="C38" s="2" t="inlineStr">
        <is>
          <t>1206</t>
        </is>
      </c>
      <c r="D38" s="2" t="inlineStr">
        <is>
          <t>R_SN</t>
        </is>
      </c>
      <c r="E38" s="2" t="n">
        <v>1</v>
      </c>
      <c r="F38" s="2" t="n">
        <v>0</v>
      </c>
      <c r="G38" s="3" t="n"/>
      <c r="H38" s="2">
        <f>IF(G38="","",MAX(F38-G38,0))</f>
        <v/>
      </c>
      <c r="I38" s="2" t="inlineStr">
        <is>
          <t>DNP，默认不装</t>
        </is>
      </c>
      <c r="J38" s="2" t="inlineStr">
        <is>
          <t>与C_SN配套；由旧0805占位改1206</t>
        </is>
      </c>
    </row>
    <row r="39" ht="58" customHeight="1">
      <c r="A39" s="2" t="inlineStr">
        <is>
          <t>二极管</t>
        </is>
      </c>
      <c r="B39" s="2" t="inlineStr">
        <is>
          <t>SR560，目标60V/5A（用户选型）</t>
        </is>
      </c>
      <c r="C39" s="2" t="inlineStr">
        <is>
          <t>SMB / DO-214AA，贴片</t>
        </is>
      </c>
      <c r="D39" s="2" t="inlineStr">
        <is>
          <t>D1、D_FREE</t>
        </is>
      </c>
      <c r="E39" s="2" t="n">
        <v>2</v>
      </c>
      <c r="F39" s="2" t="n">
        <v>2</v>
      </c>
      <c r="G39" s="3" t="n"/>
      <c r="H39" s="2">
        <f>IF(G39="","",MAX(F39-G39,0))</f>
        <v/>
      </c>
      <c r="I39" s="2" t="inlineStr">
        <is>
          <t>用户已确认SMB；厂家资料待最终复核</t>
        </is>
      </c>
      <c r="J39" s="2" t="inlineStr">
        <is>
          <t>共2只；1=K色条端、2=A。沿用原SMB焊盘；SR560为用户确认选型，原轴向目录不作为SMB厂家尺寸/电气手册；完整订货型号/额定条件/推荐焊盘待归档</t>
        </is>
      </c>
    </row>
    <row r="40" ht="58" customHeight="1">
      <c r="A40" s="2" t="inlineStr">
        <is>
          <t>二极管</t>
        </is>
      </c>
      <c r="B40" s="2" t="inlineStr">
        <is>
          <t>UF4007，快恢复</t>
        </is>
      </c>
      <c r="C40" s="2" t="inlineStr">
        <is>
          <t>DO-41，成型P10.16待核</t>
        </is>
      </c>
      <c r="D40" s="2" t="inlineStr">
        <is>
          <t>D_BOOT</t>
        </is>
      </c>
      <c r="E40" s="2" t="n">
        <v>1</v>
      </c>
      <c r="F40" s="2" t="n">
        <v>1</v>
      </c>
      <c r="G40" s="3" t="n"/>
      <c r="H40" s="2">
        <f>IF(G40="","",MAX(F40-G40,0))</f>
        <v/>
      </c>
      <c r="I40" s="2" t="inlineStr">
        <is>
          <t>成型脚距待核</t>
        </is>
      </c>
      <c r="J40" s="2" t="inlineStr">
        <is>
          <t>工程定义1=A、2=K；不是普通1N4007</t>
        </is>
      </c>
    </row>
    <row r="41" ht="58" customHeight="1">
      <c r="A41" s="2" t="inlineStr">
        <is>
          <t>二极管</t>
        </is>
      </c>
      <c r="B41" s="2" t="inlineStr">
        <is>
          <t>BAT54S，串联双肖特基</t>
        </is>
      </c>
      <c r="C41" s="2" t="inlineStr">
        <is>
          <t>SOT-23</t>
        </is>
      </c>
      <c r="D41" s="2" t="inlineStr">
        <is>
          <t>D_ADC1、D_ADC2、D_ADC3、D_ADC4、D_ADC5、D_ADC6</t>
        </is>
      </c>
      <c r="E41" s="2" t="n">
        <v>6</v>
      </c>
      <c r="F41" s="2" t="n">
        <v>6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共6只；1=A1、2=K2、3=K1/A2；不能装BAT54/BAT54C</t>
        </is>
      </c>
    </row>
    <row r="42" ht="58" customHeight="1">
      <c r="A42" s="2" t="inlineStr">
        <is>
          <t>二极管</t>
        </is>
      </c>
      <c r="B42" s="2" t="inlineStr">
        <is>
          <t>BAT54，单肖特基</t>
        </is>
      </c>
      <c r="C42" s="2" t="inlineStr">
        <is>
          <t>SOT-23</t>
        </is>
      </c>
      <c r="D42" s="2" t="inlineStr">
        <is>
          <t>D_POR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核对已购物料</t>
        </is>
      </c>
      <c r="J42" s="2" t="inlineStr">
        <is>
          <t>1=A、3=K、2=NC；不能与BAT54S混装</t>
        </is>
      </c>
    </row>
    <row r="43" ht="58" customHeight="1">
      <c r="A43" s="2" t="inlineStr">
        <is>
          <t>保险</t>
        </is>
      </c>
      <c r="B43" s="2" t="inlineStr">
        <is>
          <t>2A快断保险管，5×20mm，商品标250V</t>
        </is>
      </c>
      <c r="C43" s="2" t="inlineStr">
        <is>
          <t>配5×20mm管夹</t>
        </is>
      </c>
      <c r="D43" s="2" t="inlineStr">
        <is>
          <t>F1</t>
        </is>
      </c>
      <c r="E43" s="2" t="n">
        <v>1</v>
      </c>
      <c r="F43" s="2" t="n">
        <v>1</v>
      </c>
      <c r="G43" s="3" t="n"/>
      <c r="H43" s="2">
        <f>IF(G43="","",MAX(F43-G43,0))</f>
        <v/>
      </c>
      <c r="I43" s="2" t="inlineStr">
        <is>
          <t>尺寸/快断已给资料；实际电气性能待核</t>
        </is>
      </c>
      <c r="J43" s="2" t="inlineStr">
        <is>
          <t>商品BXG16519；250V未注明AC/DC分断条件，启动不误熔断与故障分断待验证；管夹另列2只</t>
        </is>
      </c>
    </row>
    <row r="44" ht="58" customHeight="1">
      <c r="A44" s="2" t="inlineStr">
        <is>
          <t>连接器</t>
        </is>
      </c>
      <c r="B44" s="2" t="inlineStr">
        <is>
          <t>2P接线端子，P2.54，≥3A</t>
        </is>
      </c>
      <c r="C44" s="2" t="inlineStr">
        <is>
          <t>图示5.48×6.30×8.80mm；孔1.30</t>
        </is>
      </c>
      <c r="D44" s="2" t="inlineStr">
        <is>
          <t>J1、J2、J_BYP、J_MON</t>
        </is>
      </c>
      <c r="E44" s="2" t="n">
        <v>4</v>
      </c>
      <c r="F44" s="2" t="n">
        <v>4</v>
      </c>
      <c r="G44" s="3" t="n"/>
      <c r="H44" s="2">
        <f>IF(G44="","",MAX(F44-G44,0))</f>
        <v/>
      </c>
      <c r="I44" s="2" t="inlineStr">
        <is>
          <t>完整型号/朝向待核</t>
        </is>
      </c>
      <c r="J44" s="2" t="inlineStr">
        <is>
          <t>共4只；照片标称6A/150V；J_BYP是接口，不包含外接开关</t>
        </is>
      </c>
    </row>
    <row r="45" ht="58" customHeight="1">
      <c r="A45" s="2" t="inlineStr">
        <is>
          <t>连接器</t>
        </is>
      </c>
      <c r="B45" s="2" t="inlineStr">
        <is>
          <t>1×4直排针，P2.54</t>
        </is>
      </c>
      <c r="C45" s="2" t="inlineStr">
        <is>
          <t>直插，针长/塑高待核</t>
        </is>
      </c>
      <c r="D45" s="2" t="inlineStr">
        <is>
          <t>J_AUX12、J_AUX5</t>
        </is>
      </c>
      <c r="E45" s="2" t="n">
        <v>2</v>
      </c>
      <c r="F45" s="2" t="n">
        <v>2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共2只；与LM2596HV通过排线相接，不直接按四角焊盘插装</t>
        </is>
      </c>
    </row>
    <row r="46" ht="58" customHeight="1">
      <c r="A46" s="2" t="inlineStr">
        <is>
          <t>连接器</t>
        </is>
      </c>
      <c r="B46" s="2" t="inlineStr">
        <is>
          <t>2×8排针，P2.54</t>
        </is>
      </c>
      <c r="C46" s="2" t="inlineStr">
        <is>
          <t>直插；配对高度待核</t>
        </is>
      </c>
      <c r="D46" s="2" t="inlineStr">
        <is>
          <t>J_CTL</t>
        </is>
      </c>
      <c r="E46" s="2" t="n">
        <v>1</v>
      </c>
      <c r="F46" s="2" t="n">
        <v>1</v>
      </c>
      <c r="G46" s="3" t="n"/>
      <c r="H46" s="2">
        <f>IF(G46="","",MAX(F46-G46,0))</f>
        <v/>
      </c>
      <c r="I46" s="2" t="inlineStr">
        <is>
          <t>配对件待核</t>
        </is>
      </c>
      <c r="J46" s="2" t="inlineStr">
        <is>
          <t>1只，16针；PA6监测走独立J_MON，不占此16针</t>
        </is>
      </c>
    </row>
    <row r="47" ht="58" customHeight="1">
      <c r="A47" s="2" t="inlineStr">
        <is>
          <t>测试点</t>
        </is>
      </c>
      <c r="B47" s="2" t="inlineStr">
        <is>
          <t>裸铜测试焊盘，直径1.5mm</t>
        </is>
      </c>
      <c r="C47" s="2" t="inlineStr">
        <is>
          <t>PCB焊盘；默认不买测试柱</t>
        </is>
      </c>
      <c r="D47" s="2" t="inlineStr">
        <is>
          <t>TP1、TP2、TP3、TP4、TP5、TP6、TP7、TP8、TP9、TP10、TP11、TP12、TP13、TP14</t>
        </is>
      </c>
      <c r="E47" s="2" t="n">
        <v>14</v>
      </c>
      <c r="F47" s="2" t="n">
        <v>0</v>
      </c>
      <c r="G47" s="3" t="n"/>
      <c r="H47" s="2">
        <f>IF(G47="","",MAX(F47-G47,0))</f>
        <v/>
      </c>
      <c r="I47" s="2" t="inlineStr">
        <is>
          <t>默认无需采购</t>
        </is>
      </c>
      <c r="J47" s="2" t="inlineStr">
        <is>
          <t>14个设计测试点，实物采购数量为0；若改测试柱需同步封装</t>
        </is>
      </c>
    </row>
  </sheetData>
  <autoFilter ref="A1:J47"/>
  <dataValidations count="1">
    <dataValidation sqref="G2:G47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用户已确认IR2184直插</t>
        </is>
      </c>
      <c r="I2" s="2" t="inlineStr">
        <is>
          <t>与既有DIP8_300一致；保留设计PbF标注，不把家族确认当成完整订货号/厂家确认；库存数量另填；IR2104不可代装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用户已确认立式；电气额定待核</t>
        </is>
      </c>
      <c r="I13" s="2" t="inlineStr">
        <is>
          <t>沿用当前立式布局；图示6A Max不是Isat证明</t>
        </is>
      </c>
      <c r="J13" s="2" t="inlineStr">
        <is>
          <t>用户已确认立式；65125 220μH±10%；DCR≤55mΩ；卖家6A Max≠Isat；20×10投影、P10、线径0.75；孔1.1为设计值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两只0805已确认；完整料号/介质待核</t>
        </is>
      </c>
      <c r="I25" s="2" t="inlineStr">
        <is>
          <t>共2只；C6来自原参数表，C_A3本轮由用户明确0805并替换原1206占位；实际介质与偏压后容量待核，库存另填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C0805</t>
        </is>
      </c>
      <c r="D26" s="2" t="inlineStr">
        <is>
          <t>10μF/25V，建议X7R</t>
        </is>
      </c>
      <c r="E26" s="2" t="inlineStr">
        <is>
          <t>0805</t>
        </is>
      </c>
      <c r="F26" s="2" t="n">
        <v>1</v>
      </c>
      <c r="G26" s="2" t="n">
        <v>1</v>
      </c>
      <c r="H26" s="2" t="inlineStr">
        <is>
          <t>两只0805已确认；完整料号/介质待核</t>
        </is>
      </c>
      <c r="I26" s="2" t="inlineStr">
        <is>
          <t>共2只；C6来自原参数表，C_A3本轮由用户明确0805并替换原1206占位；实际介质与偏压后容量待核，库存另填</t>
        </is>
      </c>
      <c r="J26" s="2" t="inlineStr">
        <is>
          <t>用户明确0805；10μF/25V保持，原1206暂定封装改C0805；中心(92,25)mm/90°保持，焊盘缩小并各向中心移动0.5mm；实际介质/完整料号及偏压容量待归档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100nF/50V/0805/X7R，已购50只</t>
        </is>
      </c>
      <c r="I27" s="2" t="inlineStr">
        <is>
          <t>用户对数量回复50；按单板用16只，补购0只，装一板后余34只。完整料号/容差未提供；472批次独立记4.7nF，不混计库存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100nF/50V/0805/X7R，已购50只</t>
        </is>
      </c>
      <c r="I28" s="2" t="inlineStr">
        <is>
          <t>用户对数量回复50；按单板用16只，补购0只，装一板后余34只。完整料号/容差未提供；472批次独立记4.7nF，不混计库存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100nF/50V/0805/X7R，已购50只</t>
        </is>
      </c>
      <c r="I29" s="2" t="inlineStr">
        <is>
          <t>用户对数量回复50；按单板用16只，补购0只，装一板后余34只。完整料号/容差未提供；472批次独立记4.7nF，不混计库存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100nF/50V/0805/X7R，已购50只</t>
        </is>
      </c>
      <c r="I30" s="2" t="inlineStr">
        <is>
          <t>用户对数量回复50；按单板用16只，补购0只，装一板后余34只。完整料号/容差未提供；472批次独立记4.7nF，不混计库存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100nF/50V/0805/X7R，已购50只</t>
        </is>
      </c>
      <c r="I31" s="2" t="inlineStr">
        <is>
          <t>用户对数量回复50；按单板用16只，补购0只，装一板后余34只。完整料号/容差未提供；472批次独立记4.7nF，不混计库存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100nF/50V/0805/X7R，已购50只</t>
        </is>
      </c>
      <c r="I32" s="2" t="inlineStr">
        <is>
          <t>用户对数量回复50；按单板用16只，补购0只，装一板后余34只。完整料号/容差未提供；472批次独立记4.7nF，不混计库存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100nF/50V/0805/X7R，已购50只</t>
        </is>
      </c>
      <c r="I33" s="2" t="inlineStr">
        <is>
          <t>用户对数量回复50；按单板用16只，补购0只，装一板后余34只。完整料号/容差未提供；472批次独立记4.7nF，不混计库存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100nF/50V/0805/X7R，已购50只</t>
        </is>
      </c>
      <c r="I34" s="2" t="inlineStr">
        <is>
          <t>用户对数量回复50；按单板用16只，补购0只，装一板后余34只。完整料号/容差未提供；472批次独立记4.7nF，不混计库存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100nF/50V/0805/X7R，已购50只</t>
        </is>
      </c>
      <c r="I35" s="2" t="inlineStr">
        <is>
          <t>用户对数量回复50；按单板用16只，补购0只，装一板后余34只。完整料号/容差未提供；472批次独立记4.7nF，不混计库存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100nF/50V/0805/X7R，已购50只</t>
        </is>
      </c>
      <c r="I36" s="2" t="inlineStr">
        <is>
          <t>用户对数量回复50；按单板用16只，补购0只，装一板后余34只。完整料号/容差未提供；472批次独立记4.7nF，不混计库存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100nF/50V/0805/X7R，已购50只</t>
        </is>
      </c>
      <c r="I37" s="2" t="inlineStr">
        <is>
          <t>用户对数量回复50；按单板用16只，补购0只，装一板后余34只。完整料号/容差未提供；472批次独立记4.7nF，不混计库存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100nF/50V/0805/X7R，已购50只</t>
        </is>
      </c>
      <c r="I38" s="2" t="inlineStr">
        <is>
          <t>用户对数量回复50；按单板用16只，补购0只，装一板后余34只。完整料号/容差未提供；472批次独立记4.7nF，不混计库存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100nF/50V/0805/X7R，已购50只</t>
        </is>
      </c>
      <c r="I39" s="2" t="inlineStr">
        <is>
          <t>用户对数量回复50；按单板用16只，补购0只，装一板后余34只。完整料号/容差未提供；472批次独立记4.7nF，不混计库存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100nF/50V/0805/X7R，已购50只</t>
        </is>
      </c>
      <c r="I40" s="2" t="inlineStr">
        <is>
          <t>用户对数量回复50；按单板用16只，补购0只，装一板后余34只。完整料号/容差未提供；472批次独立记4.7nF，不混计库存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100nF/50V/0805/X7R，已购50只</t>
        </is>
      </c>
      <c r="I41" s="2" t="inlineStr">
        <is>
          <t>用户对数量回复50；按单板用16只，补购0只，装一板后余34只。完整料号/容差未提供；472批次独立记4.7nF，不混计库存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100nF/50V/0805/X7R，已购50只</t>
        </is>
      </c>
      <c r="I42" s="2" t="inlineStr">
        <is>
          <t>用户对数量回复50；按单板用16只，补购0只，装一板后余34只。完整料号/容差未提供；472批次独立记4.7nF，不混计库存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CL21B472JBANNNC；4.7nF/50V，±5%，X7R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CL21B472JBANNNC，已购50只</t>
        </is>
      </c>
      <c r="I43" s="2" t="inlineStr">
        <is>
          <t>用户对这批X7R数量回复50；0805/4.7nF/50V/±5%/X7R，单板4只，补购0只，装一板后余46只。不得用于C_VINP_ADC；与另购C0G库存2只分开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CL21B472JBANNNC；4.7nF/50V，±5%，X7R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CL21B472JBANNNC，已购50只</t>
        </is>
      </c>
      <c r="I44" s="2" t="inlineStr">
        <is>
          <t>用户对这批X7R数量回复50；0805/4.7nF/50V/±5%/X7R，单板4只，补购0只，装一板后余46只。不得用于C_VINP_ADC；与另购C0G库存2只分开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CL21B472JBANNNC；4.7nF/50V，±5%，X7R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CL21B472JBANNNC，已购50只</t>
        </is>
      </c>
      <c r="I45" s="2" t="inlineStr">
        <is>
          <t>用户对这批X7R数量回复50；0805/4.7nF/50V/±5%/X7R，单板4只，补购0只，装一板后余46只。不得用于C_VINP_ADC；与另购C0G库存2只分开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CL21B472JBANNNC；4.7nF/50V，±5%，X7R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CL21B472JBANNNC，已购50只</t>
        </is>
      </c>
      <c r="I46" s="2" t="inlineStr">
        <is>
          <t>用户对这批X7R数量回复50；0805/4.7nF/50V/±5%/X7R，单板4只，补购0只，装一板后余46只。不得用于C_VINP_ADC；与另购C0G库存2只分开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4.7nF/50V/C0G/0805，已购2只</t>
        </is>
      </c>
      <c r="I47" s="2" t="inlineStr">
        <is>
          <t>用户对C0G批次数量回复2；单板1只，补购0只，装配一板后余1只。与C7～C10的CL21B472JBANNNC/X7R库存分开；完整料号/容差未提供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1nF/50V/C0G/0805，已购4只</t>
        </is>
      </c>
      <c r="I48" s="2" t="inlineStr">
        <is>
          <t>用户对这批0805/C0G的数量回复4；正常装配共2只，单板补购0只，装一板后余2只。与图片1206/X7R/50只分开；完整料号/容差未提供，不覆盖C_SN的100V/DNP项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1nF/50V/C0G/0805，已购4只</t>
        </is>
      </c>
      <c r="I49" s="2" t="inlineStr">
        <is>
          <t>用户对这批0805/C0G的数量回复4；正常装配共2只，单板补购0只，装一板后余2只。与图片1206/X7R/50只分开；完整料号/容差未提供，不覆盖C_SN的100V/DNP项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SR560 / 60V / 5A</t>
        </is>
      </c>
      <c r="C90" s="2" t="inlineStr">
        <is>
          <t>SMB_DO214AA</t>
        </is>
      </c>
      <c r="D90" s="2" t="inlineStr">
        <is>
          <t>SR560，目标60V/5A（用户选型）</t>
        </is>
      </c>
      <c r="E90" s="2" t="inlineStr">
        <is>
          <t>SMB / DO-214AA，贴片</t>
        </is>
      </c>
      <c r="F90" s="2" t="n">
        <v>1</v>
      </c>
      <c r="G90" s="2" t="n">
        <v>1</v>
      </c>
      <c r="H90" s="2" t="inlineStr">
        <is>
          <t>用户已确认SMB；厂家资料待最终复核</t>
        </is>
      </c>
      <c r="I90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0" s="2" t="inlineStr">
        <is>
          <t>用户明确SR560贴片、SMB（DO-214AA）；沿用现有SMB焊盘和位置；1=K色条端接V_SHUNT_IN、2=A接IN_PRE；厂家完整料号、额定条件及推荐焊盘最终复核待归档，不采用DO-201AD轴向目录尺寸</t>
        </is>
      </c>
    </row>
    <row r="91" ht="58" customHeight="1">
      <c r="A91" s="2" t="inlineStr">
        <is>
          <t>D_FREE</t>
        </is>
      </c>
      <c r="B91" s="2" t="inlineStr">
        <is>
          <t>SR560 / 60V / 5A</t>
        </is>
      </c>
      <c r="C91" s="2" t="inlineStr">
        <is>
          <t>SMB_DO214AA</t>
        </is>
      </c>
      <c r="D91" s="2" t="inlineStr">
        <is>
          <t>SR560，目标60V/5A（用户选型）</t>
        </is>
      </c>
      <c r="E91" s="2" t="inlineStr">
        <is>
          <t>SMB / DO-214AA，贴片</t>
        </is>
      </c>
      <c r="F91" s="2" t="n">
        <v>1</v>
      </c>
      <c r="G91" s="2" t="n">
        <v>1</v>
      </c>
      <c r="H91" s="2" t="inlineStr">
        <is>
          <t>用户已确认SMB；厂家资料待最终复核</t>
        </is>
      </c>
      <c r="I91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1" s="2" t="inlineStr">
        <is>
          <t>用户明确与D1均SR560贴片、SMB（DO-214AA）；沿用现有SMB焊盘和位置；1=K色条端接SW、2=A接GND；厂家电气/热条件及推荐焊盘最终复核待归档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NKK MN11SS4W01；SPST ON-OFF保持型，4A/30VDC；面板安装焊片端子</t>
        </is>
      </c>
      <c r="D7" s="2" t="n">
        <v>1</v>
      </c>
      <c r="E7" s="2" t="inlineStr">
        <is>
          <t>只</t>
        </is>
      </c>
      <c r="F7" s="2" t="inlineStr">
        <is>
          <t>用户提出替代MSS-22D18；本项按J_BYP外接旁路用途选型。两焊片分别接J_BYP.1 FUSED与J_BYP.2 IN_PRE，无极性；面板开孔Ø6.5mm、螺纹M6×0.75。不能直接插原六脚PCB孔，不能替代双刀/换向用途；实际旧开关接线和库存未确认；开关与PCB端子分开计数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设计IR2184PbF，DIP8</t>
        </is>
      </c>
      <c r="D2" s="2" t="inlineStr">
        <is>
          <t>用户已确认IR2184直插；无需本轮改板，不默认补购；完整订货号/库存数量另记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C2/C4/C6/C_A3</t>
        </is>
      </c>
      <c r="B8" s="2" t="inlineStr">
        <is>
          <t>原C1206占位</t>
        </is>
      </c>
      <c r="C8" s="2" t="inlineStr">
        <is>
          <t>现均0805；C4为10μF/50V</t>
        </is>
      </c>
      <c r="D8" s="2" t="inlineStr">
        <is>
          <t>C_A3本轮由用户单独确认0805，10μF/25V保持</t>
        </is>
      </c>
    </row>
    <row r="9" ht="58" customHeight="1">
      <c r="A9" s="2" t="inlineStr">
        <is>
          <t>100nF电容</t>
        </is>
      </c>
      <c r="B9" s="2" t="inlineStr">
        <is>
          <t>原472批次实际4.7nF；另购100nF/50V/0805/X7R共50只</t>
        </is>
      </c>
      <c r="C9" s="2" t="inlineStr">
        <is>
          <t>Rev C2单板需100nF共16只</t>
        </is>
      </c>
      <c r="D9" s="2" t="inlineStr">
        <is>
          <t>本项补购0只，装配一板后余34只；完整料号/容差未提供</t>
        </is>
      </c>
    </row>
    <row r="10" ht="58" customHeight="1">
      <c r="A10" s="2" t="inlineStr">
        <is>
          <t>4.7nF电容</t>
        </is>
      </c>
      <c r="B10" s="2" t="inlineStr">
        <is>
          <t>C7～C10实购CL21B472JBANNNC/X7R；现另购C0G款也获确认</t>
        </is>
      </c>
      <c r="C10" s="2" t="inlineStr">
        <is>
          <t>C7/C8/C9/C10用X7R共4只；C_VINP_ADC用C0G 1只</t>
        </is>
      </c>
      <c r="D10" s="2" t="inlineStr">
        <is>
          <t>X7R库存50只，单板4只/补购0只；C0G库存2只，单板1只/补购0只，两类不混装；C0G完整料号/容差待归档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2026-10-28T16:14:57Z</dcterms:created>
  <dcterms:modified xmlns:dcterms="http://purl.org/dc/terms/" xmlns:xsi="http://www.w3.org/2001/XMLSchema-instance" xsi:type="dcterms:W3CDTF">2026-10-28T16:14:57Z</dcterms:modified>
</cp:coreProperties>
</file>